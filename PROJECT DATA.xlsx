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EON\Documents\GIDEONSFILE\UniversityofSussex\DESERTATION_DATA\"/>
    </mc:Choice>
  </mc:AlternateContent>
  <xr:revisionPtr revIDLastSave="0" documentId="13_ncr:1_{3938E65B-4E05-4DDD-925F-85D14D51C5B0}" xr6:coauthVersionLast="47" xr6:coauthVersionMax="47" xr10:uidLastSave="{00000000-0000-0000-0000-000000000000}"/>
  <bookViews>
    <workbookView xWindow="-120" yWindow="-120" windowWidth="20730" windowHeight="11160" xr2:uid="{43F15913-9B7B-4E30-8973-641DE068ABB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5" i="1"/>
  <c r="L2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2" i="2"/>
</calcChain>
</file>

<file path=xl/sharedStrings.xml><?xml version="1.0" encoding="utf-8"?>
<sst xmlns="http://schemas.openxmlformats.org/spreadsheetml/2006/main" count="220" uniqueCount="30">
  <si>
    <t>id</t>
  </si>
  <si>
    <t>Year</t>
  </si>
  <si>
    <t>Country</t>
  </si>
  <si>
    <t>Country_Code</t>
  </si>
  <si>
    <t>Change_PPI</t>
  </si>
  <si>
    <t>Change_HCPI</t>
  </si>
  <si>
    <t>Lending_Interest_rate_Percent</t>
  </si>
  <si>
    <t>change_GDP_per_capita</t>
  </si>
  <si>
    <t>GDP_per_capita_growthrate</t>
  </si>
  <si>
    <t>Money_Supply_Broad_Money_Percent</t>
  </si>
  <si>
    <t>Lithuania</t>
  </si>
  <si>
    <t>LITH</t>
  </si>
  <si>
    <t>Morocco</t>
  </si>
  <si>
    <t>MOR</t>
  </si>
  <si>
    <t>South Africa</t>
  </si>
  <si>
    <t>SA</t>
  </si>
  <si>
    <t>United Kingdom</t>
  </si>
  <si>
    <t>UK</t>
  </si>
  <si>
    <t>United States</t>
  </si>
  <si>
    <t>US</t>
  </si>
  <si>
    <t>Change_PPI_</t>
  </si>
  <si>
    <t>Change_HCPI_</t>
  </si>
  <si>
    <t>unem_percent_lf</t>
  </si>
  <si>
    <t>PPI</t>
  </si>
  <si>
    <t>ln_PPI</t>
  </si>
  <si>
    <t>Change_ln_PPI</t>
  </si>
  <si>
    <t>SubsidiesUSD</t>
  </si>
  <si>
    <t>HCPI</t>
  </si>
  <si>
    <t>ln_HCPI</t>
  </si>
  <si>
    <t>Change_ln_HCPI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</si>
</sst>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8CFC-F516-4723-8667-F68A495509B6}">
  <dimension ref="A1:T101"/>
  <sheetViews>
    <sheetView tabSelected="1" topLeftCell="E1" workbookViewId="0">
      <selection activeCell="H104" sqref="H104"/>
    </sheetView>
  </sheetViews>
  <sheetFormatPr defaultRowHeight="16.5" x14ac:dyDescent="0.3"/>
  <cols>
    <col min="4" max="4" width="13.28515625" customWidth="1"/>
    <col min="5" max="7" width="15.7109375" customWidth="1"/>
    <col min="8" max="8" width="16.140625" customWidth="1"/>
    <col min="9" max="13" width="15.28515625" customWidth="1"/>
    <col min="14" max="14" width="18.140625" customWidth="1"/>
    <col min="15" max="15" width="29.5703125" customWidth="1"/>
    <col min="16" max="16" width="38.7109375" customWidth="1"/>
    <col min="17" max="17" width="28" customWidth="1"/>
    <col min="18" max="18" width="23" customWidth="1"/>
    <col min="19" max="19" width="25.42578125" customWidth="1"/>
    <col min="20" max="20" width="3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20</v>
      </c>
      <c r="I1" s="1" t="s">
        <v>4</v>
      </c>
      <c r="J1" s="1" t="s">
        <v>27</v>
      </c>
      <c r="K1" s="1" t="s">
        <v>28</v>
      </c>
      <c r="L1" s="1" t="s">
        <v>29</v>
      </c>
      <c r="M1" s="1" t="s">
        <v>21</v>
      </c>
      <c r="N1" s="1" t="s">
        <v>5</v>
      </c>
      <c r="O1" s="1" t="s">
        <v>26</v>
      </c>
      <c r="P1" s="1" t="s">
        <v>22</v>
      </c>
      <c r="Q1" s="1" t="s">
        <v>6</v>
      </c>
      <c r="R1" s="1" t="s">
        <v>7</v>
      </c>
      <c r="S1" s="1" t="s">
        <v>8</v>
      </c>
      <c r="T1" s="1" t="s">
        <v>9</v>
      </c>
    </row>
    <row r="2" spans="1:20" x14ac:dyDescent="0.3">
      <c r="A2">
        <v>1</v>
      </c>
      <c r="B2">
        <v>2002</v>
      </c>
      <c r="C2" t="s">
        <v>10</v>
      </c>
      <c r="D2" t="s">
        <v>11</v>
      </c>
      <c r="E2">
        <v>-2.7217638492584229</v>
      </c>
      <c r="H2">
        <v>0.20846104621887207</v>
      </c>
      <c r="I2">
        <v>-7.1141654192012629</v>
      </c>
      <c r="J2">
        <v>0.28150412440299988</v>
      </c>
      <c r="K2">
        <v>-1.2676080000000001</v>
      </c>
      <c r="L2">
        <f>K2</f>
        <v>-1.2676080000000001</v>
      </c>
      <c r="M2">
        <v>-1.0856215059757199</v>
      </c>
      <c r="N2">
        <v>0.20846104621887207</v>
      </c>
      <c r="O2">
        <v>3.2357337137293136</v>
      </c>
      <c r="P2">
        <v>13.007999999999999</v>
      </c>
      <c r="Q2">
        <v>3.7467350000000001</v>
      </c>
      <c r="R2">
        <v>17.465544902651772</v>
      </c>
      <c r="S2">
        <v>7.6118272562162019</v>
      </c>
      <c r="T2">
        <v>26.66230550294183</v>
      </c>
    </row>
    <row r="3" spans="1:20" x14ac:dyDescent="0.3">
      <c r="A3">
        <v>1</v>
      </c>
      <c r="B3">
        <v>2003</v>
      </c>
      <c r="C3" t="s">
        <v>10</v>
      </c>
      <c r="D3" t="s">
        <v>11</v>
      </c>
      <c r="E3">
        <v>-0.57229650020599365</v>
      </c>
      <c r="H3">
        <v>2.1494673490524292</v>
      </c>
      <c r="I3">
        <v>-78.973322745765699</v>
      </c>
      <c r="J3">
        <v>-1.1343090534210205</v>
      </c>
      <c r="K3">
        <v>-1.2676080000000001</v>
      </c>
      <c r="L3">
        <f>(K3-K2)/K2*100</f>
        <v>0</v>
      </c>
      <c r="M3">
        <v>-1.4158131778240199</v>
      </c>
      <c r="N3">
        <v>2.1494673490524292</v>
      </c>
      <c r="O3">
        <v>3.174267763453944</v>
      </c>
      <c r="P3">
        <v>12.875</v>
      </c>
      <c r="Q3">
        <v>2.8405279999999999</v>
      </c>
      <c r="R3">
        <v>32.785365077603537</v>
      </c>
      <c r="S3">
        <v>11.467717483924304</v>
      </c>
      <c r="T3">
        <v>29.142147341206741</v>
      </c>
    </row>
    <row r="4" spans="1:20" x14ac:dyDescent="0.3">
      <c r="A4">
        <v>1</v>
      </c>
      <c r="B4">
        <v>2004</v>
      </c>
      <c r="C4" t="s">
        <v>10</v>
      </c>
      <c r="D4" t="s">
        <v>11</v>
      </c>
      <c r="E4">
        <v>5.9350175857543945</v>
      </c>
      <c r="F4">
        <v>1.78087</v>
      </c>
      <c r="G4">
        <v>1.78087</v>
      </c>
      <c r="H4">
        <v>6.5073140859603882</v>
      </c>
      <c r="I4">
        <v>-1137.0529233741831</v>
      </c>
      <c r="J4">
        <v>1.1641021966934204</v>
      </c>
      <c r="K4">
        <v>0.15195020000000001</v>
      </c>
      <c r="L4">
        <f t="shared" ref="L4:L67" si="0">(K4-K3)/K3*100</f>
        <v>-111.98716006841232</v>
      </c>
      <c r="M4">
        <v>2.2984112501144409</v>
      </c>
      <c r="N4">
        <v>6.5073140859603882</v>
      </c>
      <c r="O4">
        <v>3.1391516528862748</v>
      </c>
      <c r="P4">
        <v>10.683999999999999</v>
      </c>
      <c r="Q4">
        <v>2.6818339999999998</v>
      </c>
      <c r="R4">
        <v>21.836779875822302</v>
      </c>
      <c r="S4">
        <v>7.7730012074888322</v>
      </c>
      <c r="T4">
        <v>31.425738187120743</v>
      </c>
    </row>
    <row r="5" spans="1:20" x14ac:dyDescent="0.3">
      <c r="A5">
        <v>1</v>
      </c>
      <c r="B5">
        <v>2005</v>
      </c>
      <c r="C5" t="s">
        <v>10</v>
      </c>
      <c r="D5" t="s">
        <v>11</v>
      </c>
      <c r="E5">
        <v>11.591403007507324</v>
      </c>
      <c r="F5">
        <v>2.4502640000000002</v>
      </c>
      <c r="G5">
        <f>(F5-F4)/F4*100</f>
        <v>37.588032815421691</v>
      </c>
      <c r="H5">
        <v>5.6563854217529297</v>
      </c>
      <c r="I5">
        <v>95.305284946918178</v>
      </c>
      <c r="J5">
        <v>2.6584863662719727</v>
      </c>
      <c r="K5">
        <v>0.97775690000000004</v>
      </c>
      <c r="L5">
        <f t="shared" si="0"/>
        <v>543.47194014881188</v>
      </c>
      <c r="M5">
        <v>1.4943841695785522</v>
      </c>
      <c r="N5">
        <v>5.6563854217529297</v>
      </c>
      <c r="O5">
        <v>3.168701802732647</v>
      </c>
      <c r="P5">
        <v>8.3249999999999993</v>
      </c>
      <c r="Q5">
        <v>2.428321</v>
      </c>
      <c r="R5">
        <v>17.229577806012095</v>
      </c>
      <c r="S5">
        <v>9.5010441823051082</v>
      </c>
      <c r="T5">
        <v>34.832400858827555</v>
      </c>
    </row>
    <row r="6" spans="1:20" x14ac:dyDescent="0.3">
      <c r="A6">
        <v>1</v>
      </c>
      <c r="B6">
        <v>2006</v>
      </c>
      <c r="C6" t="s">
        <v>10</v>
      </c>
      <c r="D6" t="s">
        <v>11</v>
      </c>
      <c r="E6">
        <v>7.3577136993408203</v>
      </c>
      <c r="F6">
        <v>1.995749</v>
      </c>
      <c r="G6">
        <f t="shared" ref="G6:G69" si="1">(F6-F5)/F5*100</f>
        <v>-18.549633835374483</v>
      </c>
      <c r="H6">
        <v>-4.2336893081665039</v>
      </c>
      <c r="I6">
        <v>-36.524390580022967</v>
      </c>
      <c r="J6">
        <v>3.7391183376312256</v>
      </c>
      <c r="K6">
        <v>1.3188500000000001</v>
      </c>
      <c r="L6">
        <f t="shared" si="0"/>
        <v>34.885266470632935</v>
      </c>
      <c r="M6">
        <v>1.0806319713592529</v>
      </c>
      <c r="N6">
        <v>-4.2336893081665039</v>
      </c>
      <c r="O6">
        <v>3.0995152521705251</v>
      </c>
      <c r="P6">
        <v>5.78</v>
      </c>
      <c r="Q6">
        <v>3.1084580000000002</v>
      </c>
      <c r="R6">
        <v>17.517298780163401</v>
      </c>
      <c r="S6">
        <v>9.142617036882001</v>
      </c>
      <c r="T6">
        <v>38.074591486428751</v>
      </c>
    </row>
    <row r="7" spans="1:20" x14ac:dyDescent="0.3">
      <c r="A7">
        <v>1</v>
      </c>
      <c r="B7">
        <v>2007</v>
      </c>
      <c r="C7" t="s">
        <v>10</v>
      </c>
      <c r="D7" t="s">
        <v>11</v>
      </c>
      <c r="E7">
        <v>6.8937721252441406</v>
      </c>
      <c r="F7">
        <v>1.9306179999999999</v>
      </c>
      <c r="G7">
        <f t="shared" si="1"/>
        <v>-3.2634865406421376</v>
      </c>
      <c r="H7">
        <v>-0.46394157409667969</v>
      </c>
      <c r="I7">
        <v>-6.3055127320086442</v>
      </c>
      <c r="J7">
        <v>5.737177848815918</v>
      </c>
      <c r="K7">
        <v>1.7469669999999999</v>
      </c>
      <c r="L7">
        <f t="shared" si="0"/>
        <v>32.461386814269993</v>
      </c>
      <c r="M7">
        <v>1.9980595111846924</v>
      </c>
      <c r="N7">
        <v>-0.46394157409667969</v>
      </c>
      <c r="O7">
        <v>3.3949074317644934</v>
      </c>
      <c r="P7">
        <v>4.25</v>
      </c>
      <c r="Q7">
        <v>5.1032359999999999</v>
      </c>
      <c r="R7">
        <v>33.093226207085976</v>
      </c>
      <c r="S7">
        <v>12.435250175484242</v>
      </c>
      <c r="T7">
        <v>39.155578471900817</v>
      </c>
    </row>
    <row r="8" spans="1:20" x14ac:dyDescent="0.3">
      <c r="A8">
        <v>1</v>
      </c>
      <c r="B8">
        <v>2008</v>
      </c>
      <c r="C8" t="s">
        <v>10</v>
      </c>
      <c r="D8" t="s">
        <v>11</v>
      </c>
      <c r="E8">
        <v>18.178388595581055</v>
      </c>
      <c r="F8">
        <v>2.9002340000000002</v>
      </c>
      <c r="G8">
        <f t="shared" si="1"/>
        <v>50.223089186985739</v>
      </c>
      <c r="H8">
        <v>11.284616470336914</v>
      </c>
      <c r="I8">
        <v>163.69291391303818</v>
      </c>
      <c r="J8">
        <v>10.925877571105957</v>
      </c>
      <c r="K8">
        <v>2.3911340000000001</v>
      </c>
      <c r="L8">
        <f t="shared" si="0"/>
        <v>36.873449813305015</v>
      </c>
      <c r="M8">
        <v>5.1886997222900391</v>
      </c>
      <c r="N8">
        <v>11.284616470336914</v>
      </c>
      <c r="O8">
        <v>3.8862863381715074</v>
      </c>
      <c r="P8">
        <v>5.8259999999999996</v>
      </c>
      <c r="Q8">
        <v>6.0390389999999998</v>
      </c>
      <c r="R8">
        <v>21.647967606293218</v>
      </c>
      <c r="S8">
        <v>3.6752409256626919</v>
      </c>
      <c r="T8">
        <v>38.960736058681576</v>
      </c>
    </row>
    <row r="9" spans="1:20" x14ac:dyDescent="0.3">
      <c r="A9">
        <v>1</v>
      </c>
      <c r="B9">
        <v>2009</v>
      </c>
      <c r="C9" t="s">
        <v>10</v>
      </c>
      <c r="D9" t="s">
        <v>11</v>
      </c>
      <c r="E9">
        <v>-13.467368125915527</v>
      </c>
      <c r="F9">
        <v>2.9002340000000002</v>
      </c>
      <c r="G9">
        <f t="shared" si="1"/>
        <v>0</v>
      </c>
      <c r="H9">
        <v>-31.645756721496582</v>
      </c>
      <c r="I9">
        <v>-174.08449904734283</v>
      </c>
      <c r="J9">
        <v>4.4530448913574219</v>
      </c>
      <c r="K9">
        <v>1.4935879999999999</v>
      </c>
      <c r="L9">
        <f t="shared" si="0"/>
        <v>-37.536415775945649</v>
      </c>
      <c r="M9">
        <v>-6.4728326797485352</v>
      </c>
      <c r="N9">
        <v>-31.645756721496582</v>
      </c>
      <c r="O9">
        <v>5.2113102913092408</v>
      </c>
      <c r="P9">
        <v>13.785</v>
      </c>
      <c r="Q9">
        <v>7.0679699999999999</v>
      </c>
      <c r="R9">
        <v>-20.904792190665368</v>
      </c>
      <c r="S9">
        <v>-13.88775335712441</v>
      </c>
      <c r="T9">
        <v>44.937758742186674</v>
      </c>
    </row>
    <row r="10" spans="1:20" x14ac:dyDescent="0.3">
      <c r="A10">
        <v>1</v>
      </c>
      <c r="B10">
        <v>2010</v>
      </c>
      <c r="C10" t="s">
        <v>10</v>
      </c>
      <c r="D10" t="s">
        <v>11</v>
      </c>
      <c r="E10">
        <v>10.280288696289063</v>
      </c>
      <c r="F10">
        <v>2.330228</v>
      </c>
      <c r="G10">
        <f t="shared" si="1"/>
        <v>-19.653793452528319</v>
      </c>
      <c r="H10">
        <v>23.74765682220459</v>
      </c>
      <c r="I10">
        <v>-176.33480127796088</v>
      </c>
      <c r="J10">
        <v>1.3192151784896851</v>
      </c>
      <c r="K10">
        <v>0.27703699999999998</v>
      </c>
      <c r="L10">
        <f t="shared" si="0"/>
        <v>-81.451578346906913</v>
      </c>
      <c r="M10">
        <v>-3.1338297128677368</v>
      </c>
      <c r="N10">
        <v>23.74765682220459</v>
      </c>
      <c r="O10">
        <v>4.5064587546337851</v>
      </c>
      <c r="P10">
        <v>17.814</v>
      </c>
      <c r="Q10">
        <v>1.8044560000000001</v>
      </c>
      <c r="R10">
        <v>1.4105017324286022</v>
      </c>
      <c r="S10">
        <v>3.8053155902889415</v>
      </c>
      <c r="T10">
        <v>46.07351186924987</v>
      </c>
    </row>
    <row r="11" spans="1:20" x14ac:dyDescent="0.3">
      <c r="A11">
        <v>1</v>
      </c>
      <c r="B11">
        <v>2011</v>
      </c>
      <c r="C11" t="s">
        <v>10</v>
      </c>
      <c r="D11" t="s">
        <v>11</v>
      </c>
      <c r="E11">
        <v>13.886797904968262</v>
      </c>
      <c r="F11">
        <v>2.6309390000000001</v>
      </c>
      <c r="G11">
        <f t="shared" si="1"/>
        <v>12.904788715953982</v>
      </c>
      <c r="H11">
        <v>3.6065092086791992</v>
      </c>
      <c r="I11">
        <v>35.081789191202986</v>
      </c>
      <c r="J11">
        <v>4.130279541015625</v>
      </c>
      <c r="K11">
        <v>1.418345</v>
      </c>
      <c r="L11">
        <f t="shared" si="0"/>
        <v>411.9695203167808</v>
      </c>
      <c r="M11">
        <v>2.8110643625259399</v>
      </c>
      <c r="N11">
        <v>3.6065092086791992</v>
      </c>
      <c r="O11">
        <v>3.9738307666449701</v>
      </c>
      <c r="P11">
        <v>15.39</v>
      </c>
      <c r="Q11">
        <v>1.6726350000000001</v>
      </c>
      <c r="R11">
        <v>19.932744743057178</v>
      </c>
      <c r="S11">
        <v>8.4611090639129287</v>
      </c>
      <c r="T11">
        <v>44.845566584201002</v>
      </c>
    </row>
    <row r="12" spans="1:20" x14ac:dyDescent="0.3">
      <c r="A12">
        <v>1</v>
      </c>
      <c r="B12">
        <v>2012</v>
      </c>
      <c r="C12" t="s">
        <v>10</v>
      </c>
      <c r="D12" t="s">
        <v>11</v>
      </c>
      <c r="E12">
        <v>5.0139474868774414</v>
      </c>
      <c r="F12">
        <v>1.6122240000000001</v>
      </c>
      <c r="G12">
        <f t="shared" si="1"/>
        <v>-38.720586072121016</v>
      </c>
      <c r="H12">
        <v>-8.8728504180908203</v>
      </c>
      <c r="I12">
        <v>-63.894142327198352</v>
      </c>
      <c r="J12">
        <v>3.0899796485900879</v>
      </c>
      <c r="K12">
        <v>1.1281650000000001</v>
      </c>
      <c r="L12">
        <f t="shared" si="0"/>
        <v>-20.459056153474641</v>
      </c>
      <c r="M12">
        <v>-1.0402998924255371</v>
      </c>
      <c r="N12">
        <v>-8.8728504180908203</v>
      </c>
      <c r="O12">
        <v>3.7512640498480452</v>
      </c>
      <c r="P12">
        <v>13.365</v>
      </c>
      <c r="Q12">
        <v>1.0819890000000001</v>
      </c>
      <c r="R12">
        <v>-6.4258698079240603E-2</v>
      </c>
      <c r="S12">
        <v>5.2460024588916383</v>
      </c>
      <c r="T12">
        <v>44.59623000239381</v>
      </c>
    </row>
    <row r="13" spans="1:20" x14ac:dyDescent="0.3">
      <c r="A13">
        <v>1</v>
      </c>
      <c r="B13">
        <v>2013</v>
      </c>
      <c r="C13" t="s">
        <v>10</v>
      </c>
      <c r="D13" t="s">
        <v>11</v>
      </c>
      <c r="E13">
        <v>-2.3628096580505371</v>
      </c>
      <c r="F13">
        <v>1.6122240000000001</v>
      </c>
      <c r="G13">
        <f t="shared" si="1"/>
        <v>0</v>
      </c>
      <c r="H13">
        <v>-7.3767571449279785</v>
      </c>
      <c r="I13">
        <v>-147.12473882573579</v>
      </c>
      <c r="J13">
        <v>1.047480583190918</v>
      </c>
      <c r="K13">
        <v>4.63878E-2</v>
      </c>
      <c r="L13">
        <f t="shared" si="0"/>
        <v>-95.888207841938012</v>
      </c>
      <c r="M13">
        <v>-2.0424990653991699</v>
      </c>
      <c r="N13">
        <v>-7.3767571449279785</v>
      </c>
      <c r="O13">
        <v>3.5633916839205888</v>
      </c>
      <c r="P13">
        <v>11.77</v>
      </c>
      <c r="Q13">
        <v>0.50988460000000002</v>
      </c>
      <c r="R13">
        <v>9.4791939445935913</v>
      </c>
      <c r="S13">
        <v>4.6033277290029133</v>
      </c>
      <c r="T13">
        <v>44.588753650261239</v>
      </c>
    </row>
    <row r="14" spans="1:20" x14ac:dyDescent="0.3">
      <c r="A14">
        <v>1</v>
      </c>
      <c r="B14">
        <v>2014</v>
      </c>
      <c r="C14" t="s">
        <v>10</v>
      </c>
      <c r="D14" t="s">
        <v>11</v>
      </c>
      <c r="E14">
        <v>-4.9330568313598633</v>
      </c>
      <c r="F14">
        <v>1.6122240000000001</v>
      </c>
      <c r="G14">
        <f t="shared" si="1"/>
        <v>0</v>
      </c>
      <c r="H14">
        <v>-2.5702471733093262</v>
      </c>
      <c r="I14">
        <v>108.77927320772582</v>
      </c>
      <c r="J14">
        <v>0.10375910997390747</v>
      </c>
      <c r="K14">
        <v>-2.2656830000000001</v>
      </c>
      <c r="L14">
        <f t="shared" si="0"/>
        <v>-4984.2217134677658</v>
      </c>
      <c r="M14">
        <v>-0.9437214732170105</v>
      </c>
      <c r="N14">
        <v>-2.5702471733093262</v>
      </c>
      <c r="O14">
        <v>3.5002840923861003</v>
      </c>
      <c r="P14">
        <v>10.698</v>
      </c>
      <c r="Q14">
        <v>0.32679629999999998</v>
      </c>
      <c r="R14">
        <v>5.2217665785568652</v>
      </c>
      <c r="S14">
        <v>4.431087654463866</v>
      </c>
      <c r="T14">
        <v>43.932234719507257</v>
      </c>
    </row>
    <row r="15" spans="1:20" x14ac:dyDescent="0.3">
      <c r="A15">
        <v>1</v>
      </c>
      <c r="B15">
        <v>2015</v>
      </c>
      <c r="C15" t="s">
        <v>10</v>
      </c>
      <c r="D15" t="s">
        <v>11</v>
      </c>
      <c r="E15">
        <v>-9.6174125671386719</v>
      </c>
      <c r="F15">
        <v>1.6122240000000001</v>
      </c>
      <c r="G15">
        <f t="shared" si="1"/>
        <v>0</v>
      </c>
      <c r="H15">
        <v>-4.6843557357788086</v>
      </c>
      <c r="I15">
        <v>94.958479010417221</v>
      </c>
      <c r="J15">
        <v>-0.88409709930419922</v>
      </c>
      <c r="K15">
        <v>-2.2656830000000001</v>
      </c>
      <c r="L15">
        <f t="shared" si="0"/>
        <v>0</v>
      </c>
      <c r="M15">
        <v>-0.98785620927810669</v>
      </c>
      <c r="N15">
        <v>-4.6843557357788086</v>
      </c>
      <c r="O15">
        <v>12.380762153722841</v>
      </c>
      <c r="P15">
        <v>9.1199999999999992</v>
      </c>
      <c r="Q15">
        <v>-1.9375699999999999E-2</v>
      </c>
      <c r="R15">
        <v>-13.818204999867397</v>
      </c>
      <c r="S15">
        <v>2.9889129706145212</v>
      </c>
      <c r="T15">
        <v>55.593598198514592</v>
      </c>
    </row>
    <row r="16" spans="1:20" x14ac:dyDescent="0.3">
      <c r="A16">
        <v>1</v>
      </c>
      <c r="B16">
        <v>2016</v>
      </c>
      <c r="C16" t="s">
        <v>10</v>
      </c>
      <c r="D16" t="s">
        <v>11</v>
      </c>
      <c r="E16">
        <v>-4.3746347427368164</v>
      </c>
      <c r="F16">
        <v>1.6122240000000001</v>
      </c>
      <c r="G16">
        <f t="shared" si="1"/>
        <v>0</v>
      </c>
      <c r="H16">
        <v>5.2427778244018555</v>
      </c>
      <c r="I16">
        <v>-54.513392118745955</v>
      </c>
      <c r="J16">
        <v>0.90552526712417603</v>
      </c>
      <c r="K16">
        <v>-9.9240099999999998E-2</v>
      </c>
      <c r="L16">
        <f t="shared" si="0"/>
        <v>-95.61985944194312</v>
      </c>
      <c r="M16">
        <v>1.7896223664283752</v>
      </c>
      <c r="N16">
        <v>5.2427778244018555</v>
      </c>
      <c r="O16">
        <v>12.535279334824628</v>
      </c>
      <c r="P16">
        <v>7.8620000000000001</v>
      </c>
      <c r="Q16">
        <v>-0.26369569999999998</v>
      </c>
      <c r="R16">
        <v>5.2183855559000527</v>
      </c>
      <c r="S16">
        <v>3.8298412640854167</v>
      </c>
      <c r="T16">
        <v>56.390141973631543</v>
      </c>
    </row>
    <row r="17" spans="1:20" x14ac:dyDescent="0.3">
      <c r="A17">
        <v>1</v>
      </c>
      <c r="B17">
        <v>2017</v>
      </c>
      <c r="C17" t="s">
        <v>10</v>
      </c>
      <c r="D17" t="s">
        <v>11</v>
      </c>
      <c r="E17">
        <v>5.062739372253418</v>
      </c>
      <c r="F17">
        <v>1.6219079999999999</v>
      </c>
      <c r="G17">
        <f t="shared" si="1"/>
        <v>0.60066095033939471</v>
      </c>
      <c r="H17">
        <v>9.4373741149902344</v>
      </c>
      <c r="I17">
        <v>-215.72941902541825</v>
      </c>
      <c r="J17">
        <v>3.718</v>
      </c>
      <c r="K17">
        <v>1.313186</v>
      </c>
      <c r="L17">
        <f t="shared" si="0"/>
        <v>-1423.2413107201626</v>
      </c>
      <c r="M17">
        <v>2.8124747328758239</v>
      </c>
      <c r="N17">
        <v>9.4373741149902344</v>
      </c>
      <c r="O17">
        <v>12.443254412881098</v>
      </c>
      <c r="P17">
        <v>7.0730000000000004</v>
      </c>
      <c r="Q17">
        <v>-0.32905610000000002</v>
      </c>
      <c r="R17">
        <v>12.507029402295144</v>
      </c>
      <c r="S17">
        <v>5.7510465573537886</v>
      </c>
      <c r="T17">
        <v>56.560852321644873</v>
      </c>
    </row>
    <row r="18" spans="1:20" x14ac:dyDescent="0.3">
      <c r="A18">
        <v>1</v>
      </c>
      <c r="B18">
        <v>2018</v>
      </c>
      <c r="C18" t="s">
        <v>10</v>
      </c>
      <c r="D18" t="s">
        <v>11</v>
      </c>
      <c r="E18">
        <v>5.623288631439209</v>
      </c>
      <c r="F18">
        <v>1.726917</v>
      </c>
      <c r="G18">
        <f t="shared" si="1"/>
        <v>6.4744116189081087</v>
      </c>
      <c r="H18">
        <v>0.56054925918579102</v>
      </c>
      <c r="I18">
        <v>11.07205443475735</v>
      </c>
      <c r="J18">
        <v>2.7</v>
      </c>
      <c r="K18">
        <v>0.99325180000000002</v>
      </c>
      <c r="L18">
        <f t="shared" si="0"/>
        <v>-24.363205212361382</v>
      </c>
      <c r="M18">
        <v>-1.0179999999999998</v>
      </c>
      <c r="N18">
        <v>0.56054925918579102</v>
      </c>
      <c r="O18">
        <v>13.32419626257772</v>
      </c>
      <c r="P18">
        <v>6.1470000000000002</v>
      </c>
      <c r="Q18">
        <v>-0.32209300000000002</v>
      </c>
      <c r="R18">
        <v>13.626868117539001</v>
      </c>
      <c r="S18">
        <v>4.9903538555410591</v>
      </c>
      <c r="T18">
        <v>56.536088609560409</v>
      </c>
    </row>
    <row r="19" spans="1:20" x14ac:dyDescent="0.3">
      <c r="A19">
        <v>1</v>
      </c>
      <c r="B19">
        <v>2019</v>
      </c>
      <c r="C19" t="s">
        <v>10</v>
      </c>
      <c r="D19" t="s">
        <v>11</v>
      </c>
      <c r="E19">
        <v>-7.8523710370063782E-2</v>
      </c>
      <c r="F19">
        <v>1.726917</v>
      </c>
      <c r="G19">
        <f t="shared" si="1"/>
        <v>0</v>
      </c>
      <c r="H19">
        <v>-5.7018123418092728</v>
      </c>
      <c r="I19">
        <v>-101.39640191917316</v>
      </c>
      <c r="J19">
        <v>2.2420001029968262</v>
      </c>
      <c r="K19">
        <v>0.80736839999999999</v>
      </c>
      <c r="L19">
        <f t="shared" si="0"/>
        <v>-18.714630066615538</v>
      </c>
      <c r="M19">
        <v>-0.45799989700317401</v>
      </c>
      <c r="N19">
        <v>-5.7018123418092728</v>
      </c>
      <c r="O19">
        <v>13.715113157712002</v>
      </c>
      <c r="P19">
        <v>6.2549999999999999</v>
      </c>
      <c r="Q19">
        <v>-0.35631930000000001</v>
      </c>
      <c r="R19">
        <v>2.2369514723546988</v>
      </c>
      <c r="S19">
        <v>4.9431000015989923</v>
      </c>
      <c r="T19">
        <v>30.654687473215176</v>
      </c>
    </row>
    <row r="20" spans="1:20" x14ac:dyDescent="0.3">
      <c r="A20">
        <v>1</v>
      </c>
      <c r="B20">
        <v>2020</v>
      </c>
      <c r="C20" t="s">
        <v>10</v>
      </c>
      <c r="D20" t="s">
        <v>11</v>
      </c>
      <c r="E20">
        <v>-8.8801546096801758</v>
      </c>
      <c r="F20">
        <v>1.726917</v>
      </c>
      <c r="G20">
        <f t="shared" si="1"/>
        <v>0</v>
      </c>
      <c r="H20">
        <v>-8.801630899310112</v>
      </c>
      <c r="I20">
        <v>11208.883097640311</v>
      </c>
      <c r="J20">
        <v>1.1998944498358577</v>
      </c>
      <c r="K20">
        <v>0.1822336</v>
      </c>
      <c r="L20">
        <f t="shared" si="0"/>
        <v>-77.428693022912469</v>
      </c>
      <c r="M20">
        <v>-1.0421056531609685</v>
      </c>
      <c r="N20">
        <v>-8.801630899310112</v>
      </c>
      <c r="O20">
        <v>18.171021398398242</v>
      </c>
      <c r="P20">
        <v>8.4870000000000001</v>
      </c>
      <c r="Q20">
        <v>-0.42515960000000003</v>
      </c>
      <c r="R20">
        <v>3.9066285224291071</v>
      </c>
      <c r="S20">
        <v>-5.1369084508593232E-2</v>
      </c>
      <c r="T20">
        <v>68.196705648301901</v>
      </c>
    </row>
    <row r="21" spans="1:20" x14ac:dyDescent="0.3">
      <c r="A21">
        <v>1</v>
      </c>
      <c r="B21">
        <v>2021</v>
      </c>
      <c r="C21" t="s">
        <v>10</v>
      </c>
      <c r="D21" t="s">
        <v>11</v>
      </c>
      <c r="E21">
        <v>9.6195323958245424</v>
      </c>
      <c r="F21">
        <v>2.2637960000000001</v>
      </c>
      <c r="G21">
        <f t="shared" si="1"/>
        <v>31.088871092241266</v>
      </c>
      <c r="H21">
        <v>18.4996870055047</v>
      </c>
      <c r="I21">
        <v>-208.32618145339922</v>
      </c>
      <c r="J21">
        <v>4.6835440000000004</v>
      </c>
      <c r="K21">
        <v>1.544055</v>
      </c>
      <c r="L21">
        <f t="shared" si="0"/>
        <v>747.29435186485921</v>
      </c>
      <c r="M21">
        <v>3.4836495501641425</v>
      </c>
      <c r="N21">
        <v>18.499687005504718</v>
      </c>
      <c r="O21">
        <v>15.835378946203086</v>
      </c>
      <c r="P21">
        <v>7.1120000000000001</v>
      </c>
      <c r="Q21">
        <v>-0.54875629999999997</v>
      </c>
      <c r="R21">
        <v>17.013955714199785</v>
      </c>
      <c r="S21">
        <v>6.0587708955274593</v>
      </c>
      <c r="T21">
        <v>71.93755265732031</v>
      </c>
    </row>
    <row r="22" spans="1:20" x14ac:dyDescent="0.3">
      <c r="A22">
        <v>2</v>
      </c>
      <c r="B22">
        <v>2002</v>
      </c>
      <c r="C22" t="s">
        <v>12</v>
      </c>
      <c r="D22" t="s">
        <v>13</v>
      </c>
      <c r="F22">
        <v>2.2637960000000001</v>
      </c>
      <c r="G22">
        <f t="shared" si="1"/>
        <v>0</v>
      </c>
      <c r="J22">
        <v>2.7790000438690186</v>
      </c>
      <c r="K22">
        <v>1.0220910000000001</v>
      </c>
      <c r="L22">
        <f t="shared" si="0"/>
        <v>-33.804754364319919</v>
      </c>
      <c r="M22">
        <v>2.1660000681877136</v>
      </c>
      <c r="N22">
        <v>353.34423395047645</v>
      </c>
      <c r="O22">
        <v>4.9013655882809166</v>
      </c>
      <c r="P22">
        <v>11.59</v>
      </c>
      <c r="R22">
        <v>6.006804829266394</v>
      </c>
      <c r="S22">
        <v>2.3798601962808874</v>
      </c>
      <c r="T22">
        <v>73.52863895363015</v>
      </c>
    </row>
    <row r="23" spans="1:20" x14ac:dyDescent="0.3">
      <c r="A23">
        <v>2</v>
      </c>
      <c r="B23">
        <v>2003</v>
      </c>
      <c r="C23" t="s">
        <v>12</v>
      </c>
      <c r="D23" t="s">
        <v>13</v>
      </c>
      <c r="F23">
        <v>2.2637960000000001</v>
      </c>
      <c r="G23">
        <f t="shared" si="1"/>
        <v>0</v>
      </c>
      <c r="J23">
        <v>1.1629999876022339</v>
      </c>
      <c r="K23">
        <v>0.1510029</v>
      </c>
      <c r="L23">
        <f t="shared" si="0"/>
        <v>-85.226080652309832</v>
      </c>
      <c r="M23">
        <v>-1.6160000562667847</v>
      </c>
      <c r="N23">
        <v>-58.150414924676809</v>
      </c>
      <c r="O23">
        <v>3.9513315432210079</v>
      </c>
      <c r="P23">
        <v>11.92</v>
      </c>
      <c r="R23">
        <v>21.729372139901756</v>
      </c>
      <c r="S23">
        <v>4.8490339621995133</v>
      </c>
      <c r="T23">
        <v>74.065191961562491</v>
      </c>
    </row>
    <row r="24" spans="1:20" x14ac:dyDescent="0.3">
      <c r="A24">
        <v>2</v>
      </c>
      <c r="B24">
        <v>2004</v>
      </c>
      <c r="C24" t="s">
        <v>12</v>
      </c>
      <c r="D24" t="s">
        <v>13</v>
      </c>
      <c r="F24">
        <v>2.2637960000000001</v>
      </c>
      <c r="G24">
        <f t="shared" si="1"/>
        <v>0</v>
      </c>
      <c r="J24">
        <v>1.4930000305175781</v>
      </c>
      <c r="K24">
        <v>0.40078750000000002</v>
      </c>
      <c r="L24">
        <f t="shared" si="0"/>
        <v>165.41708801619043</v>
      </c>
      <c r="M24">
        <v>0.33000004291534424</v>
      </c>
      <c r="N24">
        <v>28.374896511882852</v>
      </c>
      <c r="O24">
        <v>5.5146018926962279</v>
      </c>
      <c r="P24">
        <v>10.83</v>
      </c>
      <c r="R24">
        <v>12.484367563066</v>
      </c>
      <c r="S24">
        <v>3.2424852341279546</v>
      </c>
      <c r="T24">
        <v>76.049562458109833</v>
      </c>
    </row>
    <row r="25" spans="1:20" x14ac:dyDescent="0.3">
      <c r="A25">
        <v>2</v>
      </c>
      <c r="B25">
        <v>2005</v>
      </c>
      <c r="C25" t="s">
        <v>12</v>
      </c>
      <c r="D25" t="s">
        <v>13</v>
      </c>
      <c r="E25">
        <v>9.1169795989990234</v>
      </c>
      <c r="F25">
        <v>2.2101389999999999</v>
      </c>
      <c r="G25">
        <f t="shared" si="1"/>
        <v>-2.3702224051990677</v>
      </c>
      <c r="H25">
        <v>9.1169795989990234</v>
      </c>
      <c r="I25">
        <v>9.1</v>
      </c>
      <c r="J25">
        <v>0.98299998044967651</v>
      </c>
      <c r="K25">
        <v>-1.71462E-2</v>
      </c>
      <c r="L25">
        <f t="shared" si="0"/>
        <v>-104.27812743660918</v>
      </c>
      <c r="M25">
        <v>-0.51000005006790161</v>
      </c>
      <c r="N25">
        <v>-34.159413237995714</v>
      </c>
      <c r="O25">
        <v>6.1842119401028457</v>
      </c>
      <c r="P25">
        <v>11.01</v>
      </c>
      <c r="R25">
        <v>2.7448514976686789</v>
      </c>
      <c r="S25">
        <v>1.8077511686964982</v>
      </c>
      <c r="T25">
        <v>83.319181619468367</v>
      </c>
    </row>
    <row r="26" spans="1:20" x14ac:dyDescent="0.3">
      <c r="A26">
        <v>2</v>
      </c>
      <c r="B26">
        <v>2006</v>
      </c>
      <c r="C26" t="s">
        <v>12</v>
      </c>
      <c r="D26" t="s">
        <v>13</v>
      </c>
      <c r="E26">
        <v>5.9344315528869629</v>
      </c>
      <c r="F26">
        <v>1.7807710000000001</v>
      </c>
      <c r="G26">
        <f t="shared" si="1"/>
        <v>-19.427194398180376</v>
      </c>
      <c r="H26">
        <v>-3.1825480461120605</v>
      </c>
      <c r="I26">
        <v>-34.907921110863086</v>
      </c>
      <c r="J26">
        <v>3.2850000858306885</v>
      </c>
      <c r="K26">
        <v>1.1893670000000001</v>
      </c>
      <c r="L26">
        <f t="shared" si="0"/>
        <v>-7036.6215254692006</v>
      </c>
      <c r="M26">
        <v>2.302000105381012</v>
      </c>
      <c r="N26">
        <v>234.18109370947846</v>
      </c>
      <c r="O26">
        <v>4.7798287105922528</v>
      </c>
      <c r="P26">
        <v>9.67</v>
      </c>
      <c r="R26">
        <v>8.7432319430468564</v>
      </c>
      <c r="S26">
        <v>6.3544106842771271</v>
      </c>
      <c r="T26">
        <v>89.978554511466399</v>
      </c>
    </row>
    <row r="27" spans="1:20" x14ac:dyDescent="0.3">
      <c r="A27">
        <v>2</v>
      </c>
      <c r="B27">
        <v>2007</v>
      </c>
      <c r="C27" t="s">
        <v>12</v>
      </c>
      <c r="D27" t="s">
        <v>13</v>
      </c>
      <c r="E27">
        <v>1.7628622055053711</v>
      </c>
      <c r="F27">
        <v>0.56693879999999996</v>
      </c>
      <c r="G27">
        <f t="shared" si="1"/>
        <v>-68.163295561304622</v>
      </c>
      <c r="H27">
        <v>-4.1715693473815918</v>
      </c>
      <c r="I27">
        <v>-70.294337548677603</v>
      </c>
      <c r="J27">
        <v>2.0360000133514404</v>
      </c>
      <c r="K27">
        <v>0.71098709999999998</v>
      </c>
      <c r="L27">
        <f t="shared" si="0"/>
        <v>-40.22138667038854</v>
      </c>
      <c r="M27">
        <v>-1.249000072479248</v>
      </c>
      <c r="N27">
        <v>-38.021310193159685</v>
      </c>
      <c r="O27">
        <v>5.6567626965540789</v>
      </c>
      <c r="P27">
        <v>9.56</v>
      </c>
      <c r="R27">
        <v>13.077810439616369</v>
      </c>
      <c r="S27">
        <v>2.0846446310244033</v>
      </c>
      <c r="T27">
        <v>99.105584730751502</v>
      </c>
    </row>
    <row r="28" spans="1:20" x14ac:dyDescent="0.3">
      <c r="A28">
        <v>2</v>
      </c>
      <c r="B28">
        <v>2008</v>
      </c>
      <c r="C28" t="s">
        <v>12</v>
      </c>
      <c r="D28" t="s">
        <v>13</v>
      </c>
      <c r="E28">
        <v>17.958425521850586</v>
      </c>
      <c r="F28">
        <v>2.8880590000000002</v>
      </c>
      <c r="G28">
        <f t="shared" si="1"/>
        <v>409.41283256676036</v>
      </c>
      <c r="H28">
        <v>16.195563316345215</v>
      </c>
      <c r="I28">
        <v>918.70840873250938</v>
      </c>
      <c r="J28">
        <v>3.8910000324249268</v>
      </c>
      <c r="K28">
        <v>1.3586659999999999</v>
      </c>
      <c r="L28">
        <f t="shared" si="0"/>
        <v>91.095731554060549</v>
      </c>
      <c r="M28">
        <v>1.8550000190734863</v>
      </c>
      <c r="N28">
        <v>91.110019985706586</v>
      </c>
      <c r="O28">
        <v>7.0070275216768856</v>
      </c>
      <c r="P28">
        <v>9.57</v>
      </c>
      <c r="R28">
        <v>15.58273589018324</v>
      </c>
      <c r="S28">
        <v>4.308112336232611</v>
      </c>
      <c r="T28">
        <v>101.36158392407357</v>
      </c>
    </row>
    <row r="29" spans="1:20" x14ac:dyDescent="0.3">
      <c r="A29">
        <v>2</v>
      </c>
      <c r="B29">
        <v>2009</v>
      </c>
      <c r="C29" t="s">
        <v>12</v>
      </c>
      <c r="D29" t="s">
        <v>13</v>
      </c>
      <c r="E29">
        <v>-15.099265098571777</v>
      </c>
      <c r="F29">
        <v>2.8880590000000002</v>
      </c>
      <c r="G29">
        <f t="shared" si="1"/>
        <v>0</v>
      </c>
      <c r="H29">
        <v>-33.057690620422363</v>
      </c>
      <c r="I29">
        <v>-184.07900280678851</v>
      </c>
      <c r="J29">
        <v>0.97200000286102295</v>
      </c>
      <c r="K29">
        <v>-2.8399500000000001E-2</v>
      </c>
      <c r="L29">
        <f t="shared" si="0"/>
        <v>-102.09024881759019</v>
      </c>
      <c r="M29">
        <v>-2.9190000295639038</v>
      </c>
      <c r="N29">
        <v>-75.019275385221249</v>
      </c>
      <c r="O29">
        <v>5.2518435727752513</v>
      </c>
      <c r="P29">
        <v>8.9600000000000009</v>
      </c>
      <c r="R29">
        <v>-1.9504944695521165</v>
      </c>
      <c r="S29">
        <v>2.3939134130264677</v>
      </c>
      <c r="T29">
        <v>105.02313407094661</v>
      </c>
    </row>
    <row r="30" spans="1:20" x14ac:dyDescent="0.3">
      <c r="A30">
        <v>2</v>
      </c>
      <c r="B30">
        <v>2010</v>
      </c>
      <c r="C30" t="s">
        <v>12</v>
      </c>
      <c r="D30" t="s">
        <v>13</v>
      </c>
      <c r="E30">
        <v>6.4129667282104492</v>
      </c>
      <c r="F30">
        <v>1.858322</v>
      </c>
      <c r="G30">
        <f t="shared" si="1"/>
        <v>-35.654984887774113</v>
      </c>
      <c r="H30">
        <v>21.512231826782227</v>
      </c>
      <c r="I30">
        <v>-142.47204540317028</v>
      </c>
      <c r="J30">
        <v>1.0014015436172485</v>
      </c>
      <c r="K30">
        <v>1.4005999999999999E-3</v>
      </c>
      <c r="L30">
        <f t="shared" si="0"/>
        <v>-104.93177696790437</v>
      </c>
      <c r="M30">
        <v>2.9401540756225586E-2</v>
      </c>
      <c r="N30">
        <v>3.0248498631362075</v>
      </c>
      <c r="O30">
        <v>6.4304462904690691</v>
      </c>
      <c r="P30">
        <v>9.09</v>
      </c>
      <c r="Q30">
        <v>6.34</v>
      </c>
      <c r="R30">
        <v>-1.612813058158417</v>
      </c>
      <c r="S30">
        <v>2.1227068099384212</v>
      </c>
      <c r="T30">
        <v>105.04903245363639</v>
      </c>
    </row>
    <row r="31" spans="1:20" x14ac:dyDescent="0.3">
      <c r="A31">
        <v>2</v>
      </c>
      <c r="B31">
        <v>2011</v>
      </c>
      <c r="C31" t="s">
        <v>12</v>
      </c>
      <c r="D31" t="s">
        <v>13</v>
      </c>
      <c r="E31">
        <v>12.748593330383301</v>
      </c>
      <c r="F31">
        <v>2.5454210000000002</v>
      </c>
      <c r="G31">
        <f t="shared" si="1"/>
        <v>36.974162712382466</v>
      </c>
      <c r="H31">
        <v>6.3356266021728516</v>
      </c>
      <c r="I31">
        <v>98.794003940525982</v>
      </c>
      <c r="J31">
        <v>0.89923769235610962</v>
      </c>
      <c r="K31">
        <v>-0.10620789999999999</v>
      </c>
      <c r="L31">
        <f t="shared" si="0"/>
        <v>-7683.0287019848638</v>
      </c>
      <c r="M31">
        <v>-0.10216385126113892</v>
      </c>
      <c r="N31">
        <v>-10.202086456957526</v>
      </c>
      <c r="O31">
        <v>8.7075088261522353</v>
      </c>
      <c r="P31">
        <v>8.91</v>
      </c>
      <c r="Q31">
        <v>6.35</v>
      </c>
      <c r="R31">
        <v>7.6470877065037888</v>
      </c>
      <c r="S31">
        <v>4.0847612955031707</v>
      </c>
      <c r="T31">
        <v>106.59696542750127</v>
      </c>
    </row>
    <row r="32" spans="1:20" x14ac:dyDescent="0.3">
      <c r="A32">
        <v>2</v>
      </c>
      <c r="B32">
        <v>2012</v>
      </c>
      <c r="C32" t="s">
        <v>12</v>
      </c>
      <c r="D32" t="s">
        <v>13</v>
      </c>
      <c r="E32">
        <v>2.9085972309112549</v>
      </c>
      <c r="F32">
        <v>1.067671</v>
      </c>
      <c r="G32">
        <f t="shared" si="1"/>
        <v>-58.055229370701355</v>
      </c>
      <c r="H32">
        <v>-9.8399960994720459</v>
      </c>
      <c r="I32">
        <v>-77.184955582673652</v>
      </c>
      <c r="J32">
        <v>1.2949397563934326</v>
      </c>
      <c r="K32">
        <v>0.25846419999999998</v>
      </c>
      <c r="L32">
        <f t="shared" si="0"/>
        <v>-343.35685010248767</v>
      </c>
      <c r="M32">
        <v>0.395702064037323</v>
      </c>
      <c r="N32">
        <v>44.00416790810187</v>
      </c>
      <c r="O32">
        <v>9.7958892945563516</v>
      </c>
      <c r="P32">
        <v>8.99</v>
      </c>
      <c r="Q32">
        <v>6.3</v>
      </c>
      <c r="R32">
        <v>-4.1922922472402995</v>
      </c>
      <c r="S32">
        <v>1.6440066547937846</v>
      </c>
      <c r="T32">
        <v>107.52924005440805</v>
      </c>
    </row>
    <row r="33" spans="1:20" x14ac:dyDescent="0.3">
      <c r="A33">
        <v>2</v>
      </c>
      <c r="B33">
        <v>2013</v>
      </c>
      <c r="C33" t="s">
        <v>12</v>
      </c>
      <c r="D33" t="s">
        <v>13</v>
      </c>
      <c r="E33">
        <v>-1.8744965791702271</v>
      </c>
      <c r="F33">
        <v>1.067671</v>
      </c>
      <c r="G33">
        <f t="shared" si="1"/>
        <v>0</v>
      </c>
      <c r="H33">
        <v>-4.7830938100814819</v>
      </c>
      <c r="I33">
        <v>-164.44675664436883</v>
      </c>
      <c r="J33">
        <v>1.8950204849243164</v>
      </c>
      <c r="K33">
        <v>0.63922970000000001</v>
      </c>
      <c r="L33">
        <f t="shared" si="0"/>
        <v>147.31846808958457</v>
      </c>
      <c r="M33">
        <v>0.60008072853088379</v>
      </c>
      <c r="N33">
        <v>46.34043595990773</v>
      </c>
      <c r="O33">
        <v>8.1580142948587557</v>
      </c>
      <c r="P33">
        <v>9.23</v>
      </c>
      <c r="Q33">
        <v>6.23</v>
      </c>
      <c r="R33">
        <v>6.7521682302367578</v>
      </c>
      <c r="S33">
        <v>2.6996346357549328</v>
      </c>
      <c r="T33">
        <v>105.13636047850723</v>
      </c>
    </row>
    <row r="34" spans="1:20" x14ac:dyDescent="0.3">
      <c r="A34">
        <v>2</v>
      </c>
      <c r="B34">
        <v>2014</v>
      </c>
      <c r="C34" t="s">
        <v>12</v>
      </c>
      <c r="D34" t="s">
        <v>13</v>
      </c>
      <c r="E34">
        <v>-2.82814621925354</v>
      </c>
      <c r="F34">
        <v>1.067671</v>
      </c>
      <c r="G34">
        <f t="shared" si="1"/>
        <v>0</v>
      </c>
      <c r="H34">
        <v>-0.95364964008331299</v>
      </c>
      <c r="I34">
        <v>50.874973615873962</v>
      </c>
      <c r="J34">
        <v>0.42066961526870728</v>
      </c>
      <c r="K34">
        <v>-0.86590750000000005</v>
      </c>
      <c r="L34">
        <f t="shared" si="0"/>
        <v>-235.46108699267259</v>
      </c>
      <c r="M34">
        <v>-1.4743508696556091</v>
      </c>
      <c r="N34">
        <v>-77.801315678890504</v>
      </c>
      <c r="O34">
        <v>7.3923517950247364</v>
      </c>
      <c r="P34">
        <v>9.6999999999999993</v>
      </c>
      <c r="Q34">
        <v>6</v>
      </c>
      <c r="R34">
        <v>1.5659103242918562</v>
      </c>
      <c r="S34">
        <v>1.3576132027367294</v>
      </c>
      <c r="T34">
        <v>108.46499061088576</v>
      </c>
    </row>
    <row r="35" spans="1:20" x14ac:dyDescent="0.3">
      <c r="A35">
        <v>2</v>
      </c>
      <c r="B35">
        <v>2015</v>
      </c>
      <c r="C35" t="s">
        <v>12</v>
      </c>
      <c r="D35" t="s">
        <v>13</v>
      </c>
      <c r="E35">
        <v>-4.5768704414367676</v>
      </c>
      <c r="F35">
        <v>1.067671</v>
      </c>
      <c r="G35">
        <f t="shared" si="1"/>
        <v>0</v>
      </c>
      <c r="H35">
        <v>-1.7487242221832275</v>
      </c>
      <c r="I35">
        <v>61.832878734423616</v>
      </c>
      <c r="J35">
        <v>1.5653653144836426</v>
      </c>
      <c r="K35">
        <v>0.4481192</v>
      </c>
      <c r="L35">
        <f t="shared" si="0"/>
        <v>-151.75139376896493</v>
      </c>
      <c r="M35">
        <v>1.1446956992149353</v>
      </c>
      <c r="N35">
        <v>272.11275967334802</v>
      </c>
      <c r="O35">
        <v>5.6801705792268473</v>
      </c>
      <c r="P35">
        <v>9.4600000000000009</v>
      </c>
      <c r="Q35">
        <v>5.73</v>
      </c>
      <c r="R35">
        <v>-8.4915676787957075</v>
      </c>
      <c r="S35">
        <v>3.0224298760332999</v>
      </c>
      <c r="T35">
        <v>106.48534677947332</v>
      </c>
    </row>
    <row r="36" spans="1:20" x14ac:dyDescent="0.3">
      <c r="A36">
        <v>2</v>
      </c>
      <c r="B36">
        <v>2016</v>
      </c>
      <c r="C36" t="s">
        <v>12</v>
      </c>
      <c r="D36" t="s">
        <v>13</v>
      </c>
      <c r="E36">
        <v>1.609529972076416</v>
      </c>
      <c r="F36">
        <v>0.47594219999999998</v>
      </c>
      <c r="G36">
        <f t="shared" si="1"/>
        <v>-55.422391354640155</v>
      </c>
      <c r="H36">
        <v>6.1864004135131836</v>
      </c>
      <c r="I36">
        <v>-135.16660549323205</v>
      </c>
      <c r="J36">
        <v>1.6497843265533447</v>
      </c>
      <c r="K36">
        <v>0.5006446</v>
      </c>
      <c r="L36">
        <f t="shared" si="0"/>
        <v>11.721300939571435</v>
      </c>
      <c r="M36">
        <v>8.4419012069702148E-2</v>
      </c>
      <c r="N36">
        <v>5.3929272156863224</v>
      </c>
      <c r="O36">
        <v>5.303656920279173</v>
      </c>
      <c r="P36">
        <v>9.3000000000000007</v>
      </c>
      <c r="Q36">
        <v>5.26</v>
      </c>
      <c r="R36">
        <v>-0.1999256665687566</v>
      </c>
      <c r="S36">
        <v>-0.72200265063662528</v>
      </c>
      <c r="T36">
        <v>109.88482281129887</v>
      </c>
    </row>
    <row r="37" spans="1:20" x14ac:dyDescent="0.3">
      <c r="A37">
        <v>2</v>
      </c>
      <c r="B37">
        <v>2017</v>
      </c>
      <c r="C37" t="s">
        <v>12</v>
      </c>
      <c r="D37" t="s">
        <v>13</v>
      </c>
      <c r="E37">
        <v>1.679076075553894</v>
      </c>
      <c r="F37">
        <v>0.51824369999999997</v>
      </c>
      <c r="G37">
        <f t="shared" si="1"/>
        <v>8.8879489988490192</v>
      </c>
      <c r="H37">
        <v>6.9546103477478027E-2</v>
      </c>
      <c r="I37">
        <v>4.3208952106532239</v>
      </c>
      <c r="J37">
        <v>0.754</v>
      </c>
      <c r="K37">
        <v>-0.28236289999999997</v>
      </c>
      <c r="L37">
        <f t="shared" si="0"/>
        <v>-156.39986928851323</v>
      </c>
      <c r="M37">
        <v>-0.89578432655334472</v>
      </c>
      <c r="N37">
        <v>-54.297056417354696</v>
      </c>
      <c r="O37">
        <v>5.7445785746102995</v>
      </c>
      <c r="P37">
        <v>9.2289999999999992</v>
      </c>
      <c r="Q37">
        <v>5.5274999999999999</v>
      </c>
      <c r="R37">
        <v>4.9649828576844959</v>
      </c>
      <c r="S37">
        <v>3.7922770236530283</v>
      </c>
      <c r="T37">
        <v>110.4624249173397</v>
      </c>
    </row>
    <row r="38" spans="1:20" x14ac:dyDescent="0.3">
      <c r="A38">
        <v>2</v>
      </c>
      <c r="B38">
        <v>2018</v>
      </c>
      <c r="C38" t="s">
        <v>12</v>
      </c>
      <c r="D38" t="s">
        <v>13</v>
      </c>
      <c r="E38">
        <v>2.6172270774841309</v>
      </c>
      <c r="F38">
        <v>0.96211539999999995</v>
      </c>
      <c r="G38">
        <f t="shared" si="1"/>
        <v>85.649222556878172</v>
      </c>
      <c r="H38">
        <v>0.93815100193023682</v>
      </c>
      <c r="I38">
        <v>55.873049207776923</v>
      </c>
      <c r="J38">
        <v>1.79</v>
      </c>
      <c r="K38">
        <v>0.58221560000000006</v>
      </c>
      <c r="L38">
        <f t="shared" si="0"/>
        <v>-306.19408569610249</v>
      </c>
      <c r="M38">
        <v>1.036</v>
      </c>
      <c r="N38">
        <v>137.40053050397879</v>
      </c>
      <c r="O38">
        <v>6.1071148840407377</v>
      </c>
      <c r="P38">
        <v>9.282</v>
      </c>
      <c r="Q38">
        <v>5.12</v>
      </c>
      <c r="R38">
        <v>6.2085983013587356</v>
      </c>
      <c r="S38">
        <v>1.899445895793292</v>
      </c>
      <c r="T38">
        <v>110.49057795036299</v>
      </c>
    </row>
    <row r="39" spans="1:20" x14ac:dyDescent="0.3">
      <c r="A39">
        <v>2</v>
      </c>
      <c r="B39">
        <v>2019</v>
      </c>
      <c r="C39" t="s">
        <v>12</v>
      </c>
      <c r="D39" t="s">
        <v>13</v>
      </c>
      <c r="E39">
        <v>0.50857651233673096</v>
      </c>
      <c r="F39">
        <v>-0.67613959999999995</v>
      </c>
      <c r="G39">
        <f t="shared" si="1"/>
        <v>-170.27635146469956</v>
      </c>
      <c r="H39">
        <v>-2.1086505651473999</v>
      </c>
      <c r="I39">
        <v>-80.568116663930752</v>
      </c>
      <c r="J39">
        <v>0.23999999463558197</v>
      </c>
      <c r="K39">
        <v>-1.4271160000000001</v>
      </c>
      <c r="L39">
        <f t="shared" si="0"/>
        <v>-345.11813149630484</v>
      </c>
      <c r="M39">
        <v>-1.5500000053644181</v>
      </c>
      <c r="N39">
        <v>-86.592179070637883</v>
      </c>
      <c r="O39">
        <v>6.4576903051349968</v>
      </c>
      <c r="P39">
        <v>9.2100000000000009</v>
      </c>
      <c r="Q39">
        <v>5</v>
      </c>
      <c r="R39">
        <v>0.16921586745465353</v>
      </c>
      <c r="S39">
        <v>1.8026571820882111</v>
      </c>
      <c r="T39">
        <v>110.54028558240687</v>
      </c>
    </row>
    <row r="40" spans="1:20" x14ac:dyDescent="0.3">
      <c r="A40">
        <v>2</v>
      </c>
      <c r="B40">
        <v>2020</v>
      </c>
      <c r="C40" t="s">
        <v>12</v>
      </c>
      <c r="D40" t="s">
        <v>13</v>
      </c>
      <c r="E40">
        <v>-1.872969388961792</v>
      </c>
      <c r="F40">
        <v>-0.67613959999999995</v>
      </c>
      <c r="G40">
        <f t="shared" si="1"/>
        <v>0</v>
      </c>
      <c r="H40">
        <v>-2.3815459012985229</v>
      </c>
      <c r="I40">
        <v>-468.27681647273749</v>
      </c>
      <c r="J40">
        <v>0.70596866133771419</v>
      </c>
      <c r="K40">
        <v>-0.34818440000000001</v>
      </c>
      <c r="L40">
        <f t="shared" si="0"/>
        <v>-75.602235557586056</v>
      </c>
      <c r="M40">
        <v>0.46596866670213222</v>
      </c>
      <c r="N40">
        <v>194.15361546555991</v>
      </c>
      <c r="O40">
        <v>8.8683144530316742</v>
      </c>
      <c r="P40">
        <v>11.202999999999999</v>
      </c>
      <c r="Q40">
        <v>4.55</v>
      </c>
      <c r="R40">
        <v>-6.8688876878508571</v>
      </c>
      <c r="S40">
        <v>-8.1639652855106419</v>
      </c>
      <c r="T40">
        <v>128.86314720419324</v>
      </c>
    </row>
    <row r="41" spans="1:20" x14ac:dyDescent="0.3">
      <c r="A41">
        <v>2</v>
      </c>
      <c r="B41">
        <v>2021</v>
      </c>
      <c r="C41" t="s">
        <v>12</v>
      </c>
      <c r="D41" t="s">
        <v>13</v>
      </c>
      <c r="E41">
        <v>5.0151975683890608</v>
      </c>
      <c r="F41">
        <v>1.612473</v>
      </c>
      <c r="G41">
        <f t="shared" si="1"/>
        <v>-338.48226017230763</v>
      </c>
      <c r="H41">
        <v>6.8881669573508528</v>
      </c>
      <c r="I41">
        <v>-367.7671935241313</v>
      </c>
      <c r="J41">
        <v>1.3988288874430468</v>
      </c>
      <c r="K41">
        <v>0.33563539999999997</v>
      </c>
      <c r="L41">
        <f t="shared" si="0"/>
        <v>-196.39587528907097</v>
      </c>
      <c r="M41">
        <v>0.6928602261053326</v>
      </c>
      <c r="N41">
        <v>98.14319870693086</v>
      </c>
      <c r="O41">
        <v>7.382311977735613</v>
      </c>
      <c r="P41">
        <v>10.539</v>
      </c>
      <c r="Q41">
        <v>4.3899999999999997</v>
      </c>
      <c r="R41">
        <v>15.629644227015548</v>
      </c>
      <c r="S41">
        <v>6.8807313338151062</v>
      </c>
      <c r="T41">
        <v>122.43948612165114</v>
      </c>
    </row>
    <row r="42" spans="1:20" x14ac:dyDescent="0.3">
      <c r="A42">
        <v>3</v>
      </c>
      <c r="B42">
        <v>2002</v>
      </c>
      <c r="C42" t="s">
        <v>14</v>
      </c>
      <c r="D42" t="s">
        <v>15</v>
      </c>
      <c r="E42">
        <v>0.219069615006447</v>
      </c>
      <c r="F42">
        <v>-1.5183660000000001</v>
      </c>
      <c r="G42">
        <f t="shared" si="1"/>
        <v>-194.16380925448053</v>
      </c>
      <c r="H42">
        <v>-2.6995900720357895</v>
      </c>
      <c r="I42">
        <v>-92.494170664053968</v>
      </c>
      <c r="J42">
        <v>9.4947128295898438</v>
      </c>
      <c r="K42">
        <v>2.2507350000000002</v>
      </c>
      <c r="L42">
        <f t="shared" si="0"/>
        <v>570.58927633974258</v>
      </c>
      <c r="M42">
        <v>3.7928152084350586</v>
      </c>
      <c r="N42">
        <v>66.518472628537182</v>
      </c>
      <c r="O42">
        <v>12.787437031371116</v>
      </c>
      <c r="P42">
        <v>19.658000000000001</v>
      </c>
      <c r="Q42">
        <v>11.16127</v>
      </c>
      <c r="R42">
        <v>-5.5466674470284305</v>
      </c>
      <c r="S42">
        <v>2.7608779863138579</v>
      </c>
      <c r="T42">
        <v>52.117445159726017</v>
      </c>
    </row>
    <row r="43" spans="1:20" x14ac:dyDescent="0.3">
      <c r="A43">
        <v>3</v>
      </c>
      <c r="B43">
        <v>2003</v>
      </c>
      <c r="C43" t="s">
        <v>14</v>
      </c>
      <c r="D43" t="s">
        <v>15</v>
      </c>
      <c r="E43">
        <v>-1.2310166358947754</v>
      </c>
      <c r="F43">
        <v>-1.5183660000000001</v>
      </c>
      <c r="G43">
        <f t="shared" si="1"/>
        <v>0</v>
      </c>
      <c r="H43">
        <v>-1.4500862509012222</v>
      </c>
      <c r="I43">
        <v>-661.92942862411508</v>
      </c>
      <c r="J43">
        <v>5.6794185638427734</v>
      </c>
      <c r="K43">
        <v>1.7368490000000001</v>
      </c>
      <c r="L43">
        <f t="shared" si="0"/>
        <v>-22.831919350789853</v>
      </c>
      <c r="M43">
        <v>-3.8152942657470703</v>
      </c>
      <c r="N43">
        <v>-40.183356086946389</v>
      </c>
      <c r="O43">
        <v>13.528906872828589</v>
      </c>
      <c r="P43">
        <v>19.728000000000002</v>
      </c>
      <c r="Q43">
        <v>10.66587</v>
      </c>
      <c r="R43">
        <v>51.22021916036028</v>
      </c>
      <c r="S43">
        <v>2.0019937133630776</v>
      </c>
      <c r="T43">
        <v>53.933693311777034</v>
      </c>
    </row>
    <row r="44" spans="1:20" x14ac:dyDescent="0.3">
      <c r="A44">
        <v>3</v>
      </c>
      <c r="B44">
        <v>2004</v>
      </c>
      <c r="C44" t="s">
        <v>14</v>
      </c>
      <c r="D44" t="s">
        <v>15</v>
      </c>
      <c r="E44">
        <v>7.6645302772521973</v>
      </c>
      <c r="F44">
        <v>2.0366029999999999</v>
      </c>
      <c r="G44">
        <f t="shared" si="1"/>
        <v>-234.13123054652169</v>
      </c>
      <c r="H44">
        <v>8.8955469131469727</v>
      </c>
      <c r="I44">
        <v>-722.61792844750346</v>
      </c>
      <c r="J44">
        <v>-0.69203239679336548</v>
      </c>
      <c r="K44">
        <v>1.7368490000000001</v>
      </c>
      <c r="L44">
        <f t="shared" si="0"/>
        <v>0</v>
      </c>
      <c r="M44">
        <v>-6.3714509606361389</v>
      </c>
      <c r="N44">
        <v>-112.18491627292788</v>
      </c>
      <c r="O44">
        <v>14.212186654382625</v>
      </c>
      <c r="P44">
        <v>19.634</v>
      </c>
      <c r="Q44">
        <v>7.5330750000000002</v>
      </c>
      <c r="R44">
        <v>28.630015445791329</v>
      </c>
      <c r="S44">
        <v>3.5812302110621346</v>
      </c>
      <c r="T44">
        <v>55.043321713185797</v>
      </c>
    </row>
    <row r="45" spans="1:20" x14ac:dyDescent="0.3">
      <c r="A45">
        <v>3</v>
      </c>
      <c r="B45">
        <v>2005</v>
      </c>
      <c r="C45" t="s">
        <v>14</v>
      </c>
      <c r="D45" t="s">
        <v>15</v>
      </c>
      <c r="E45">
        <v>6.0370030403137207</v>
      </c>
      <c r="F45">
        <v>1.7979080000000001</v>
      </c>
      <c r="G45">
        <f t="shared" si="1"/>
        <v>-11.720251811472334</v>
      </c>
      <c r="H45">
        <v>-1.6275272369384766</v>
      </c>
      <c r="I45">
        <v>-21.234533338185983</v>
      </c>
      <c r="J45">
        <v>2.062854528427124</v>
      </c>
      <c r="K45">
        <v>0.72409069999999998</v>
      </c>
      <c r="L45">
        <f t="shared" si="0"/>
        <v>-58.310094890229379</v>
      </c>
      <c r="M45">
        <v>2.7548869252204895</v>
      </c>
      <c r="N45">
        <v>-398.08641011398686</v>
      </c>
      <c r="O45">
        <v>14.525573499340281</v>
      </c>
      <c r="P45">
        <v>19.556999999999999</v>
      </c>
      <c r="Q45">
        <v>6.9050320000000003</v>
      </c>
      <c r="R45">
        <v>11.861720875512889</v>
      </c>
      <c r="S45">
        <v>4.2867715305723095</v>
      </c>
      <c r="T45">
        <v>59.760936349771043</v>
      </c>
    </row>
    <row r="46" spans="1:20" x14ac:dyDescent="0.3">
      <c r="A46">
        <v>3</v>
      </c>
      <c r="B46">
        <v>2006</v>
      </c>
      <c r="C46" t="s">
        <v>14</v>
      </c>
      <c r="D46" t="s">
        <v>15</v>
      </c>
      <c r="E46">
        <v>6.1422300338745117</v>
      </c>
      <c r="F46">
        <v>1.815188</v>
      </c>
      <c r="G46">
        <f t="shared" si="1"/>
        <v>0.96111703157224748</v>
      </c>
      <c r="H46">
        <v>0.10522699356079102</v>
      </c>
      <c r="I46">
        <v>1.743033635366908</v>
      </c>
      <c r="J46">
        <v>3.2439050674438477</v>
      </c>
      <c r="K46">
        <v>1.1767780000000001</v>
      </c>
      <c r="L46">
        <f t="shared" si="0"/>
        <v>62.518038140801991</v>
      </c>
      <c r="M46">
        <v>1.1810505390167236</v>
      </c>
      <c r="N46">
        <v>57.253215034859764</v>
      </c>
      <c r="O46">
        <v>15.436962111260355</v>
      </c>
      <c r="P46">
        <v>19.425000000000001</v>
      </c>
      <c r="Q46">
        <v>7.3388249999999999</v>
      </c>
      <c r="R46">
        <v>4.1810066203921243</v>
      </c>
      <c r="S46">
        <v>4.5911021010921047</v>
      </c>
      <c r="T46">
        <v>65.424314823033768</v>
      </c>
    </row>
    <row r="47" spans="1:20" x14ac:dyDescent="0.3">
      <c r="A47">
        <v>3</v>
      </c>
      <c r="B47">
        <v>2007</v>
      </c>
      <c r="C47" t="s">
        <v>14</v>
      </c>
      <c r="D47" t="s">
        <v>15</v>
      </c>
      <c r="E47">
        <v>2.2878007888793945</v>
      </c>
      <c r="F47">
        <v>0.82759099999999997</v>
      </c>
      <c r="G47">
        <f t="shared" si="1"/>
        <v>-54.407422261495789</v>
      </c>
      <c r="H47">
        <v>-3.8544292449951172</v>
      </c>
      <c r="I47">
        <v>-62.752928883123374</v>
      </c>
      <c r="J47">
        <v>6.1778044700622559</v>
      </c>
      <c r="K47">
        <v>1.8209630000000001</v>
      </c>
      <c r="L47">
        <f t="shared" si="0"/>
        <v>54.741421066675279</v>
      </c>
      <c r="M47">
        <v>2.9338994026184082</v>
      </c>
      <c r="N47">
        <v>90.443442135940202</v>
      </c>
      <c r="O47">
        <v>15.678606579232</v>
      </c>
      <c r="P47">
        <v>19.39</v>
      </c>
      <c r="Q47">
        <v>9.1136959999999991</v>
      </c>
      <c r="R47">
        <v>8.5100451510961399</v>
      </c>
      <c r="S47">
        <v>4.2976452104840064</v>
      </c>
      <c r="T47">
        <v>71.093679258232655</v>
      </c>
    </row>
    <row r="48" spans="1:20" x14ac:dyDescent="0.3">
      <c r="A48">
        <v>3</v>
      </c>
      <c r="B48">
        <v>2008</v>
      </c>
      <c r="C48" t="s">
        <v>14</v>
      </c>
      <c r="D48" t="s">
        <v>15</v>
      </c>
      <c r="E48">
        <v>8.0819473266601563</v>
      </c>
      <c r="F48">
        <v>2.0896330000000001</v>
      </c>
      <c r="G48">
        <f t="shared" si="1"/>
        <v>152.49585846148642</v>
      </c>
      <c r="H48">
        <v>5.7941465377807617</v>
      </c>
      <c r="I48">
        <v>253.26272138488238</v>
      </c>
      <c r="J48">
        <v>10.055282592773438</v>
      </c>
      <c r="K48">
        <v>2.3080980000000002</v>
      </c>
      <c r="L48">
        <f t="shared" si="0"/>
        <v>26.751504561048193</v>
      </c>
      <c r="M48">
        <v>3.8774781227111816</v>
      </c>
      <c r="N48">
        <v>62.764662454137323</v>
      </c>
      <c r="O48">
        <v>16.987737236934354</v>
      </c>
      <c r="P48">
        <v>19.507000000000001</v>
      </c>
      <c r="Q48">
        <v>10.80735</v>
      </c>
      <c r="R48">
        <v>-6.1570323144298085</v>
      </c>
      <c r="S48">
        <v>2.0284046877170852</v>
      </c>
      <c r="T48">
        <v>73.295208225756241</v>
      </c>
    </row>
    <row r="49" spans="1:20" x14ac:dyDescent="0.3">
      <c r="A49">
        <v>3</v>
      </c>
      <c r="B49">
        <v>2009</v>
      </c>
      <c r="C49" t="s">
        <v>14</v>
      </c>
      <c r="D49" t="s">
        <v>15</v>
      </c>
      <c r="E49">
        <v>-5.4951739311218262</v>
      </c>
      <c r="F49">
        <v>2.0896330000000001</v>
      </c>
      <c r="G49">
        <f t="shared" si="1"/>
        <v>0</v>
      </c>
      <c r="H49">
        <v>-13.577121257781982</v>
      </c>
      <c r="I49">
        <v>-167.99319160364649</v>
      </c>
      <c r="J49">
        <v>7.2645597457885742</v>
      </c>
      <c r="K49">
        <v>1.9830080000000001</v>
      </c>
      <c r="L49">
        <f t="shared" si="0"/>
        <v>-14.084757233011775</v>
      </c>
      <c r="M49">
        <v>-2.7907228469848633</v>
      </c>
      <c r="N49">
        <v>-27.753798277042048</v>
      </c>
      <c r="O49">
        <v>17.941393002717746</v>
      </c>
      <c r="P49">
        <v>20.512</v>
      </c>
      <c r="Q49">
        <v>7.8488009999999999</v>
      </c>
      <c r="R49">
        <v>3.076026614096643</v>
      </c>
      <c r="S49">
        <v>-2.702155971723414</v>
      </c>
      <c r="T49">
        <v>69.711944656127372</v>
      </c>
    </row>
    <row r="50" spans="1:20" x14ac:dyDescent="0.3">
      <c r="A50">
        <v>3</v>
      </c>
      <c r="B50">
        <v>2010</v>
      </c>
      <c r="C50" t="s">
        <v>14</v>
      </c>
      <c r="D50" t="s">
        <v>15</v>
      </c>
      <c r="E50">
        <v>7.0751681327819824</v>
      </c>
      <c r="F50">
        <v>1.956591</v>
      </c>
      <c r="G50">
        <f t="shared" si="1"/>
        <v>-6.3667639245743199</v>
      </c>
      <c r="H50">
        <v>12.570342063903809</v>
      </c>
      <c r="I50">
        <v>-228.75239658406232</v>
      </c>
      <c r="J50">
        <v>4.0635437965393066</v>
      </c>
      <c r="K50">
        <v>1.402056</v>
      </c>
      <c r="L50">
        <f t="shared" si="0"/>
        <v>-29.296503090254809</v>
      </c>
      <c r="M50">
        <v>-3.2010159492492676</v>
      </c>
      <c r="N50">
        <v>-44.063454101330329</v>
      </c>
      <c r="O50">
        <v>17.501791781221378</v>
      </c>
      <c r="P50">
        <v>23.181000000000001</v>
      </c>
      <c r="Q50">
        <v>6.4190630000000004</v>
      </c>
      <c r="R50">
        <v>25.067180666805516</v>
      </c>
      <c r="S50">
        <v>1.8177356973662313</v>
      </c>
      <c r="T50">
        <v>68.168958363184373</v>
      </c>
    </row>
    <row r="51" spans="1:20" x14ac:dyDescent="0.3">
      <c r="A51">
        <v>3</v>
      </c>
      <c r="B51">
        <v>2011</v>
      </c>
      <c r="C51" t="s">
        <v>14</v>
      </c>
      <c r="D51" t="s">
        <v>15</v>
      </c>
      <c r="E51">
        <v>8.9104652404785156</v>
      </c>
      <c r="F51">
        <v>2.187227</v>
      </c>
      <c r="G51">
        <f t="shared" si="1"/>
        <v>11.787644939591365</v>
      </c>
      <c r="H51">
        <v>1.8352971076965332</v>
      </c>
      <c r="I51">
        <v>25.939978715034261</v>
      </c>
      <c r="J51">
        <v>5.017158031463623</v>
      </c>
      <c r="K51">
        <v>1.6128640000000001</v>
      </c>
      <c r="L51">
        <f t="shared" si="0"/>
        <v>15.035633384115906</v>
      </c>
      <c r="M51">
        <v>0.95361423492431641</v>
      </c>
      <c r="N51">
        <v>23.467551542977251</v>
      </c>
      <c r="O51">
        <v>18.401076728224965</v>
      </c>
      <c r="P51">
        <v>21.416</v>
      </c>
      <c r="Q51">
        <v>5.4877520000000004</v>
      </c>
      <c r="R51">
        <v>8.4058960533900002</v>
      </c>
      <c r="S51">
        <v>1.8733182263089247</v>
      </c>
      <c r="T51">
        <v>67.829728410417673</v>
      </c>
    </row>
    <row r="52" spans="1:20" x14ac:dyDescent="0.3">
      <c r="A52">
        <v>3</v>
      </c>
      <c r="B52">
        <v>2012</v>
      </c>
      <c r="C52" t="s">
        <v>14</v>
      </c>
      <c r="D52" t="s">
        <v>15</v>
      </c>
      <c r="E52">
        <v>4.471527099609375</v>
      </c>
      <c r="F52">
        <v>1.49773</v>
      </c>
      <c r="G52">
        <f t="shared" si="1"/>
        <v>-31.523797027011831</v>
      </c>
      <c r="H52">
        <v>-4.4389381408691406</v>
      </c>
      <c r="I52">
        <v>-49.817130992261831</v>
      </c>
      <c r="J52">
        <v>5.7239389419555664</v>
      </c>
      <c r="K52">
        <v>1.7446569999999999</v>
      </c>
      <c r="L52">
        <f t="shared" si="0"/>
        <v>8.1713647275901629</v>
      </c>
      <c r="M52">
        <v>0.70678091049194336</v>
      </c>
      <c r="N52">
        <v>14.087276224100892</v>
      </c>
      <c r="O52">
        <v>18.688300774210258</v>
      </c>
      <c r="P52">
        <v>21.786000000000001</v>
      </c>
      <c r="Q52">
        <v>5.2871860000000002</v>
      </c>
      <c r="R52">
        <v>-6.4457991428241739</v>
      </c>
      <c r="S52">
        <v>1.0442291704685829</v>
      </c>
      <c r="T52">
        <v>66.550267601771992</v>
      </c>
    </row>
    <row r="53" spans="1:20" x14ac:dyDescent="0.3">
      <c r="A53">
        <v>3</v>
      </c>
      <c r="B53">
        <v>2013</v>
      </c>
      <c r="C53" t="s">
        <v>14</v>
      </c>
      <c r="D53" t="s">
        <v>15</v>
      </c>
      <c r="E53">
        <v>5.9963388442993164</v>
      </c>
      <c r="F53">
        <v>1.7911490000000001</v>
      </c>
      <c r="G53">
        <f t="shared" si="1"/>
        <v>19.590914250232025</v>
      </c>
      <c r="H53">
        <v>1.5248117446899414</v>
      </c>
      <c r="I53">
        <v>34.100469721477175</v>
      </c>
      <c r="J53">
        <v>5.7764086723327637</v>
      </c>
      <c r="K53">
        <v>1.753782</v>
      </c>
      <c r="L53">
        <f t="shared" si="0"/>
        <v>0.52302544282343466</v>
      </c>
      <c r="M53">
        <v>5.2469730377197266E-2</v>
      </c>
      <c r="N53">
        <v>0.91667173443452465</v>
      </c>
      <c r="O53">
        <v>19.197292825007132</v>
      </c>
      <c r="P53">
        <v>22.038</v>
      </c>
      <c r="Q53">
        <v>5.0782369999999997</v>
      </c>
      <c r="R53">
        <v>-8.9631760894416104</v>
      </c>
      <c r="S53">
        <v>1.0994617350306441</v>
      </c>
      <c r="T53">
        <v>64.980763428420104</v>
      </c>
    </row>
    <row r="54" spans="1:20" x14ac:dyDescent="0.3">
      <c r="A54">
        <v>3</v>
      </c>
      <c r="B54">
        <v>2014</v>
      </c>
      <c r="C54" t="s">
        <v>14</v>
      </c>
      <c r="D54" t="s">
        <v>15</v>
      </c>
      <c r="E54">
        <v>7.404022216796875</v>
      </c>
      <c r="F54">
        <v>2.0020229999999999</v>
      </c>
      <c r="G54">
        <f t="shared" si="1"/>
        <v>11.773113236252247</v>
      </c>
      <c r="H54">
        <v>1.4076833724975586</v>
      </c>
      <c r="I54">
        <v>23.475714249134448</v>
      </c>
      <c r="J54">
        <v>6.1360201835632324</v>
      </c>
      <c r="K54">
        <v>1.814176</v>
      </c>
      <c r="L54">
        <f t="shared" si="0"/>
        <v>3.4436435087143136</v>
      </c>
      <c r="M54">
        <v>0.35961151123046875</v>
      </c>
      <c r="N54">
        <v>6.2255205895126196</v>
      </c>
      <c r="O54">
        <v>19.003415784470615</v>
      </c>
      <c r="P54">
        <v>22.606000000000002</v>
      </c>
      <c r="Q54">
        <v>5.7980910000000003</v>
      </c>
      <c r="R54">
        <v>-6.3980404044546368</v>
      </c>
      <c r="S54">
        <v>-0.17222060932843419</v>
      </c>
      <c r="T54">
        <v>65.238142560143359</v>
      </c>
    </row>
    <row r="55" spans="1:20" x14ac:dyDescent="0.3">
      <c r="A55">
        <v>3</v>
      </c>
      <c r="B55">
        <v>2015</v>
      </c>
      <c r="C55" t="s">
        <v>14</v>
      </c>
      <c r="D55" t="s">
        <v>15</v>
      </c>
      <c r="E55">
        <v>3.612293004989624</v>
      </c>
      <c r="F55">
        <v>1.284343</v>
      </c>
      <c r="G55">
        <f t="shared" si="1"/>
        <v>-35.847740010978889</v>
      </c>
      <c r="H55">
        <v>-3.791729211807251</v>
      </c>
      <c r="I55">
        <v>-51.211748165818271</v>
      </c>
      <c r="J55">
        <v>4.5092082023620605</v>
      </c>
      <c r="K55">
        <v>1.506122</v>
      </c>
      <c r="L55">
        <f t="shared" si="0"/>
        <v>-16.980381175806539</v>
      </c>
      <c r="M55">
        <v>-1.6268119812011719</v>
      </c>
      <c r="N55">
        <v>-26.512493970586487</v>
      </c>
      <c r="O55">
        <v>19.607915588718129</v>
      </c>
      <c r="P55">
        <v>22.869</v>
      </c>
      <c r="Q55">
        <v>6.0522030000000004</v>
      </c>
      <c r="R55">
        <v>-10.914471574180419</v>
      </c>
      <c r="S55">
        <v>-0.75792811406113003</v>
      </c>
      <c r="T55">
        <v>67.301879275951677</v>
      </c>
    </row>
    <row r="56" spans="1:20" x14ac:dyDescent="0.3">
      <c r="A56">
        <v>3</v>
      </c>
      <c r="B56">
        <v>2016</v>
      </c>
      <c r="C56" t="s">
        <v>14</v>
      </c>
      <c r="D56" t="s">
        <v>15</v>
      </c>
      <c r="E56">
        <v>7.0822310447692871</v>
      </c>
      <c r="F56">
        <v>1.957589</v>
      </c>
      <c r="G56">
        <f t="shared" si="1"/>
        <v>52.419486071867091</v>
      </c>
      <c r="H56">
        <v>3.4699380397796631</v>
      </c>
      <c r="I56">
        <v>96.059152316455851</v>
      </c>
      <c r="J56">
        <v>6.5946044921875</v>
      </c>
      <c r="K56">
        <v>1.886252</v>
      </c>
      <c r="L56">
        <f t="shared" si="0"/>
        <v>25.238991263655937</v>
      </c>
      <c r="M56">
        <v>2.0853962898254395</v>
      </c>
      <c r="N56">
        <v>46.247505021680865</v>
      </c>
      <c r="O56">
        <v>18.752786614744615</v>
      </c>
      <c r="P56">
        <v>24.023</v>
      </c>
      <c r="Q56">
        <v>7.2280800000000003</v>
      </c>
      <c r="R56">
        <v>-7.5724161552509175</v>
      </c>
      <c r="S56">
        <v>-0.30917116725491667</v>
      </c>
      <c r="T56">
        <v>66.312022077098305</v>
      </c>
    </row>
    <row r="57" spans="1:20" x14ac:dyDescent="0.3">
      <c r="A57">
        <v>3</v>
      </c>
      <c r="B57">
        <v>2017</v>
      </c>
      <c r="C57" t="s">
        <v>14</v>
      </c>
      <c r="D57" t="s">
        <v>15</v>
      </c>
      <c r="E57">
        <v>4.8751382827758789</v>
      </c>
      <c r="F57">
        <v>1.584149</v>
      </c>
      <c r="G57">
        <f t="shared" si="1"/>
        <v>-19.076527299652788</v>
      </c>
      <c r="H57">
        <v>-2.2070927619934082</v>
      </c>
      <c r="I57">
        <v>-31.163806264460938</v>
      </c>
      <c r="J57">
        <v>5.2729999999999997</v>
      </c>
      <c r="K57">
        <v>1.6625989999999999</v>
      </c>
      <c r="L57">
        <f t="shared" si="0"/>
        <v>-11.857005320604038</v>
      </c>
      <c r="M57">
        <v>-1.3216044921875003</v>
      </c>
      <c r="N57">
        <v>-20.040693778575797</v>
      </c>
      <c r="O57">
        <v>19.057894831719402</v>
      </c>
      <c r="P57">
        <v>23.992000000000001</v>
      </c>
      <c r="Q57">
        <v>7.3318630000000002</v>
      </c>
      <c r="R57">
        <v>17.426272492612956</v>
      </c>
      <c r="S57">
        <v>0.76694161266350136</v>
      </c>
      <c r="T57">
        <v>66.144766492185369</v>
      </c>
    </row>
    <row r="58" spans="1:20" x14ac:dyDescent="0.3">
      <c r="A58">
        <v>3</v>
      </c>
      <c r="B58">
        <v>2018</v>
      </c>
      <c r="C58" t="s">
        <v>14</v>
      </c>
      <c r="D58" t="s">
        <v>15</v>
      </c>
      <c r="E58">
        <v>5.453066349029541</v>
      </c>
      <c r="F58">
        <v>1.696178</v>
      </c>
      <c r="G58">
        <f t="shared" si="1"/>
        <v>7.0718726584431097</v>
      </c>
      <c r="H58">
        <v>0.57792806625366211</v>
      </c>
      <c r="I58">
        <v>11.85459842842843</v>
      </c>
      <c r="J58">
        <v>4.5</v>
      </c>
      <c r="K58">
        <v>1.5040770000000001</v>
      </c>
      <c r="L58">
        <f t="shared" si="0"/>
        <v>-9.5345901206484456</v>
      </c>
      <c r="M58">
        <v>-0.77299999999999969</v>
      </c>
      <c r="N58">
        <v>-14.659586573108282</v>
      </c>
      <c r="O58">
        <v>19.719843442532014</v>
      </c>
      <c r="P58">
        <v>24.218</v>
      </c>
      <c r="Q58">
        <v>7.155443</v>
      </c>
      <c r="R58">
        <v>4.948403611578474</v>
      </c>
      <c r="S58">
        <v>0.31977042091004648</v>
      </c>
      <c r="T58">
        <v>66.136856193384631</v>
      </c>
    </row>
    <row r="59" spans="1:20" x14ac:dyDescent="0.3">
      <c r="A59">
        <v>3</v>
      </c>
      <c r="B59">
        <v>2019</v>
      </c>
      <c r="C59" t="s">
        <v>14</v>
      </c>
      <c r="D59" t="s">
        <v>15</v>
      </c>
      <c r="E59">
        <v>4.6239218711853027</v>
      </c>
      <c r="F59">
        <v>1.5312429999999999</v>
      </c>
      <c r="G59">
        <f t="shared" si="1"/>
        <v>-9.7239204847604466</v>
      </c>
      <c r="H59">
        <v>-0.82914447784423828</v>
      </c>
      <c r="I59">
        <v>-15.205105252236617</v>
      </c>
      <c r="J59">
        <v>4.130000114440918</v>
      </c>
      <c r="K59">
        <v>1.418277</v>
      </c>
      <c r="L59">
        <f t="shared" si="0"/>
        <v>-5.704495182095072</v>
      </c>
      <c r="M59">
        <v>-0.36999988555908203</v>
      </c>
      <c r="N59">
        <v>-8.2222196790907116</v>
      </c>
      <c r="O59">
        <v>18.846757119799808</v>
      </c>
      <c r="P59">
        <v>25.538</v>
      </c>
      <c r="Q59">
        <v>7.084257</v>
      </c>
      <c r="R59">
        <v>-5.167116594590099</v>
      </c>
      <c r="S59">
        <v>-1.0301329424816714</v>
      </c>
      <c r="T59">
        <v>66.909164856299739</v>
      </c>
    </row>
    <row r="60" spans="1:20" x14ac:dyDescent="0.3">
      <c r="A60">
        <v>3</v>
      </c>
      <c r="B60">
        <v>2020</v>
      </c>
      <c r="C60" t="s">
        <v>14</v>
      </c>
      <c r="D60" t="s">
        <v>15</v>
      </c>
      <c r="E60">
        <v>2.4896867275238037</v>
      </c>
      <c r="F60">
        <v>0.91215690000000005</v>
      </c>
      <c r="G60">
        <f t="shared" si="1"/>
        <v>-40.430297477278252</v>
      </c>
      <c r="H60">
        <v>-2.134235143661499</v>
      </c>
      <c r="I60">
        <v>-46.156384193282364</v>
      </c>
      <c r="J60">
        <v>3.2238850420667653</v>
      </c>
      <c r="K60">
        <v>1.170587</v>
      </c>
      <c r="L60">
        <f t="shared" si="0"/>
        <v>-17.464148399783681</v>
      </c>
      <c r="M60">
        <v>-0.90611507237415267</v>
      </c>
      <c r="N60">
        <v>-21.939831652929975</v>
      </c>
      <c r="O60">
        <v>21.340775150576768</v>
      </c>
      <c r="P60">
        <v>24.338999999999999</v>
      </c>
      <c r="Q60">
        <v>4.5456190000000003</v>
      </c>
      <c r="R60">
        <v>-14.165704616060932</v>
      </c>
      <c r="S60">
        <v>-7.1065887815432518</v>
      </c>
      <c r="T60">
        <v>73.969503473915722</v>
      </c>
    </row>
    <row r="61" spans="1:20" x14ac:dyDescent="0.3">
      <c r="A61">
        <v>3</v>
      </c>
      <c r="B61">
        <v>2021</v>
      </c>
      <c r="C61" t="s">
        <v>14</v>
      </c>
      <c r="D61" t="s">
        <v>15</v>
      </c>
      <c r="E61">
        <v>7.118040843996301</v>
      </c>
      <c r="F61">
        <v>1.9626330000000001</v>
      </c>
      <c r="G61">
        <f t="shared" si="1"/>
        <v>115.16397014592555</v>
      </c>
      <c r="H61">
        <v>4.6283541164724973</v>
      </c>
      <c r="I61">
        <v>185.90106398951536</v>
      </c>
      <c r="J61">
        <v>4.6090590000000002</v>
      </c>
      <c r="K61">
        <v>1.528024</v>
      </c>
      <c r="L61">
        <f t="shared" si="0"/>
        <v>30.534851318184806</v>
      </c>
      <c r="M61">
        <v>1.3851739579332349</v>
      </c>
      <c r="N61">
        <v>42.965984824484586</v>
      </c>
      <c r="O61">
        <v>18.700764087485364</v>
      </c>
      <c r="P61">
        <v>28.77</v>
      </c>
      <c r="Q61">
        <v>3.7838099999999999</v>
      </c>
      <c r="R61">
        <v>22.95378058093269</v>
      </c>
      <c r="S61">
        <v>3.6623683030325083</v>
      </c>
      <c r="T61">
        <v>70.122792279918428</v>
      </c>
    </row>
    <row r="62" spans="1:20" x14ac:dyDescent="0.3">
      <c r="A62">
        <v>4</v>
      </c>
      <c r="B62">
        <v>2002</v>
      </c>
      <c r="C62" t="s">
        <v>16</v>
      </c>
      <c r="D62" t="s">
        <v>17</v>
      </c>
      <c r="E62">
        <v>-0.40336939692497253</v>
      </c>
      <c r="F62">
        <v>1.9626330000000001</v>
      </c>
      <c r="G62">
        <f t="shared" si="1"/>
        <v>0</v>
      </c>
      <c r="H62">
        <v>-0.53404109179973602</v>
      </c>
      <c r="I62">
        <v>-408.68919034957349</v>
      </c>
      <c r="J62">
        <v>1.4745287895202637</v>
      </c>
      <c r="K62">
        <v>0.38833849999999998</v>
      </c>
      <c r="L62">
        <f t="shared" si="0"/>
        <v>-74.585575881007117</v>
      </c>
      <c r="M62">
        <v>-0.16034436225891113</v>
      </c>
      <c r="N62">
        <v>-9.8077555487662149</v>
      </c>
      <c r="O62">
        <v>18.656030781752232</v>
      </c>
      <c r="P62">
        <v>5.0369999999999999</v>
      </c>
      <c r="Q62">
        <v>4.060289</v>
      </c>
      <c r="R62">
        <v>7.7801462805857149</v>
      </c>
      <c r="S62">
        <v>1.3619732399821487</v>
      </c>
      <c r="T62">
        <v>99.365053519315722</v>
      </c>
    </row>
    <row r="63" spans="1:20" x14ac:dyDescent="0.3">
      <c r="A63">
        <v>4</v>
      </c>
      <c r="B63">
        <v>2003</v>
      </c>
      <c r="C63" t="s">
        <v>16</v>
      </c>
      <c r="D63" t="s">
        <v>17</v>
      </c>
      <c r="E63">
        <v>0.20250034332275391</v>
      </c>
      <c r="F63">
        <v>-1.5970139999999999</v>
      </c>
      <c r="G63">
        <f t="shared" si="1"/>
        <v>-181.37099498479847</v>
      </c>
      <c r="H63">
        <v>0.60586974024772644</v>
      </c>
      <c r="I63">
        <v>-150.20220791822226</v>
      </c>
      <c r="J63">
        <v>1.3210040330886841</v>
      </c>
      <c r="K63">
        <v>0.27839209999999998</v>
      </c>
      <c r="L63">
        <f t="shared" si="0"/>
        <v>-28.31200099912834</v>
      </c>
      <c r="M63">
        <v>-0.15352475643157959</v>
      </c>
      <c r="N63">
        <v>-10.411784261026785</v>
      </c>
      <c r="O63">
        <v>19.546483135954059</v>
      </c>
      <c r="P63">
        <v>4.8070000000000004</v>
      </c>
      <c r="Q63">
        <v>3.7351610000000002</v>
      </c>
      <c r="R63">
        <v>14.512213684274936</v>
      </c>
      <c r="S63">
        <v>2.6673961662178556</v>
      </c>
      <c r="T63">
        <v>103.30063401290914</v>
      </c>
    </row>
    <row r="64" spans="1:20" x14ac:dyDescent="0.3">
      <c r="A64">
        <v>4</v>
      </c>
      <c r="B64">
        <v>2004</v>
      </c>
      <c r="C64" t="s">
        <v>16</v>
      </c>
      <c r="D64" t="s">
        <v>17</v>
      </c>
      <c r="E64">
        <v>2.5915348529815674</v>
      </c>
      <c r="F64">
        <v>0.95225029999999999</v>
      </c>
      <c r="G64">
        <f t="shared" si="1"/>
        <v>-159.6269224941046</v>
      </c>
      <c r="H64">
        <v>2.3890345096588135</v>
      </c>
      <c r="I64">
        <v>1179.7681280229069</v>
      </c>
      <c r="J64">
        <v>1.4341670274734497</v>
      </c>
      <c r="K64">
        <v>0.36058420000000002</v>
      </c>
      <c r="L64">
        <f t="shared" si="0"/>
        <v>29.523862207296848</v>
      </c>
      <c r="M64">
        <v>0.11316299438476563</v>
      </c>
      <c r="N64">
        <v>8.5664382204931968</v>
      </c>
      <c r="O64">
        <v>19.73145738730998</v>
      </c>
      <c r="P64">
        <v>4.5940000000000003</v>
      </c>
      <c r="Q64">
        <v>4.6378209999999997</v>
      </c>
      <c r="R64">
        <v>17.200170915658795</v>
      </c>
      <c r="S64">
        <v>1.8454026649850448</v>
      </c>
      <c r="T64">
        <v>107.93097425824318</v>
      </c>
    </row>
    <row r="65" spans="1:20" x14ac:dyDescent="0.3">
      <c r="A65">
        <v>4</v>
      </c>
      <c r="B65">
        <v>2005</v>
      </c>
      <c r="C65" t="s">
        <v>16</v>
      </c>
      <c r="D65" t="s">
        <v>17</v>
      </c>
      <c r="E65">
        <v>7.9026675224304199</v>
      </c>
      <c r="F65">
        <v>2.0672000000000001</v>
      </c>
      <c r="G65">
        <f t="shared" si="1"/>
        <v>117.08578091285456</v>
      </c>
      <c r="H65">
        <v>5.3111326694488525</v>
      </c>
      <c r="I65">
        <v>204.94158754370528</v>
      </c>
      <c r="J65">
        <v>2.0565531253814697</v>
      </c>
      <c r="K65">
        <v>0.72103139999999999</v>
      </c>
      <c r="L65">
        <f t="shared" si="0"/>
        <v>99.962006100100879</v>
      </c>
      <c r="M65">
        <v>0.62238609790802002</v>
      </c>
      <c r="N65">
        <v>43.397044136795429</v>
      </c>
      <c r="O65">
        <v>19.747634281047517</v>
      </c>
      <c r="P65">
        <v>4.7510000000000003</v>
      </c>
      <c r="Q65">
        <v>4.7601680000000002</v>
      </c>
      <c r="R65">
        <v>4.3052606477156159</v>
      </c>
      <c r="S65">
        <v>2.0358420977383531</v>
      </c>
      <c r="T65">
        <v>116.19254062022564</v>
      </c>
    </row>
    <row r="66" spans="1:20" x14ac:dyDescent="0.3">
      <c r="A66">
        <v>4</v>
      </c>
      <c r="B66">
        <v>2006</v>
      </c>
      <c r="C66" t="s">
        <v>16</v>
      </c>
      <c r="D66" t="s">
        <v>17</v>
      </c>
      <c r="E66">
        <v>6.4218239784240723</v>
      </c>
      <c r="F66">
        <v>1.859702</v>
      </c>
      <c r="G66">
        <f t="shared" si="1"/>
        <v>-10.037635448916417</v>
      </c>
      <c r="H66">
        <v>-1.4808435440063477</v>
      </c>
      <c r="I66">
        <v>-18.73852771615682</v>
      </c>
      <c r="J66">
        <v>2.5188915729522705</v>
      </c>
      <c r="K66">
        <v>0.9238189</v>
      </c>
      <c r="L66">
        <f t="shared" si="0"/>
        <v>28.124642005882134</v>
      </c>
      <c r="M66">
        <v>0.46233844757080078</v>
      </c>
      <c r="N66">
        <v>22.481230456180977</v>
      </c>
      <c r="O66">
        <v>19.83747456375443</v>
      </c>
      <c r="P66">
        <v>5.35</v>
      </c>
      <c r="Q66">
        <v>4.8492090000000001</v>
      </c>
      <c r="R66">
        <v>5.7182821278341098</v>
      </c>
      <c r="S66">
        <v>1.6364455869846637</v>
      </c>
      <c r="T66">
        <v>125.97229147617112</v>
      </c>
    </row>
    <row r="67" spans="1:20" x14ac:dyDescent="0.3">
      <c r="A67">
        <v>4</v>
      </c>
      <c r="B67">
        <v>2007</v>
      </c>
      <c r="C67" t="s">
        <v>16</v>
      </c>
      <c r="D67" t="s">
        <v>17</v>
      </c>
      <c r="E67">
        <v>1.6044387817382813</v>
      </c>
      <c r="F67">
        <v>0.47277400000000003</v>
      </c>
      <c r="G67">
        <f t="shared" si="1"/>
        <v>-74.577970018852483</v>
      </c>
      <c r="H67">
        <v>-4.817385196685791</v>
      </c>
      <c r="I67">
        <v>-75.015839936926866</v>
      </c>
      <c r="J67">
        <v>2.3341541290283203</v>
      </c>
      <c r="K67">
        <v>0.8476496</v>
      </c>
      <c r="L67">
        <f t="shared" si="0"/>
        <v>-8.2450467293968543</v>
      </c>
      <c r="M67">
        <v>-0.1847374439239502</v>
      </c>
      <c r="N67">
        <v>-7.3340768577596371</v>
      </c>
      <c r="O67">
        <v>19.781108520644246</v>
      </c>
      <c r="P67">
        <v>5.2619999999999996</v>
      </c>
      <c r="Q67">
        <v>6.0022070000000003</v>
      </c>
      <c r="R67">
        <v>13.221526273934096</v>
      </c>
      <c r="S67">
        <v>1.8243644619552697</v>
      </c>
      <c r="T67">
        <v>139.03350754902283</v>
      </c>
    </row>
    <row r="68" spans="1:20" x14ac:dyDescent="0.3">
      <c r="A68">
        <v>4</v>
      </c>
      <c r="B68">
        <v>2008</v>
      </c>
      <c r="C68" t="s">
        <v>16</v>
      </c>
      <c r="D68" t="s">
        <v>17</v>
      </c>
      <c r="E68">
        <v>14.728374481201172</v>
      </c>
      <c r="F68">
        <v>2.6897760000000002</v>
      </c>
      <c r="G68">
        <f t="shared" si="1"/>
        <v>468.93483990236342</v>
      </c>
      <c r="H68">
        <v>13.123935699462891</v>
      </c>
      <c r="I68">
        <v>817.97671864077938</v>
      </c>
      <c r="J68">
        <v>3.4813849925994873</v>
      </c>
      <c r="K68">
        <v>1.24743</v>
      </c>
      <c r="L68">
        <f t="shared" ref="L68:L101" si="2">(K68-K67)/K67*100</f>
        <v>47.163403368561731</v>
      </c>
      <c r="M68">
        <v>1.147230863571167</v>
      </c>
      <c r="N68">
        <v>49.149747623938836</v>
      </c>
      <c r="O68">
        <v>20.365344800277327</v>
      </c>
      <c r="P68">
        <v>5.6150000000000002</v>
      </c>
      <c r="Q68">
        <v>5.511412</v>
      </c>
      <c r="R68">
        <v>-5.9557601864315872</v>
      </c>
      <c r="S68">
        <v>-1.0079010322068456</v>
      </c>
      <c r="T68">
        <v>158.75395331325302</v>
      </c>
    </row>
    <row r="69" spans="1:20" x14ac:dyDescent="0.3">
      <c r="A69">
        <v>4</v>
      </c>
      <c r="B69">
        <v>2009</v>
      </c>
      <c r="C69" t="s">
        <v>16</v>
      </c>
      <c r="D69" t="s">
        <v>17</v>
      </c>
      <c r="E69">
        <v>-0.61461168527603149</v>
      </c>
      <c r="F69">
        <v>2.6897760000000002</v>
      </c>
      <c r="G69">
        <f t="shared" si="1"/>
        <v>0</v>
      </c>
      <c r="H69">
        <v>-15.342986166477203</v>
      </c>
      <c r="I69">
        <v>-104.17297703871193</v>
      </c>
      <c r="J69">
        <v>1.972163200378418</v>
      </c>
      <c r="K69">
        <v>0.67913100000000004</v>
      </c>
      <c r="L69">
        <f t="shared" si="2"/>
        <v>-45.557586397633528</v>
      </c>
      <c r="M69">
        <v>-1.5092217922210693</v>
      </c>
      <c r="N69">
        <v>-43.351189122411903</v>
      </c>
      <c r="O69">
        <v>22.554820860207137</v>
      </c>
      <c r="P69">
        <v>7.5369999999999999</v>
      </c>
      <c r="Q69">
        <v>1.2136530000000001</v>
      </c>
      <c r="R69">
        <v>-18.25463450776866</v>
      </c>
      <c r="S69">
        <v>-5.3337193941918315</v>
      </c>
      <c r="T69">
        <v>163.2394034606173</v>
      </c>
    </row>
    <row r="70" spans="1:20" x14ac:dyDescent="0.3">
      <c r="A70">
        <v>4</v>
      </c>
      <c r="B70">
        <v>2010</v>
      </c>
      <c r="C70" t="s">
        <v>16</v>
      </c>
      <c r="D70" t="s">
        <v>17</v>
      </c>
      <c r="E70">
        <v>4.7905220985412598</v>
      </c>
      <c r="F70">
        <v>1.5666389999999999</v>
      </c>
      <c r="G70">
        <f t="shared" ref="G70:G101" si="3">(F70-F69)/F69*100</f>
        <v>-41.755781894105688</v>
      </c>
      <c r="H70">
        <v>5.4051337838172913</v>
      </c>
      <c r="I70">
        <v>-879.43882508347747</v>
      </c>
      <c r="J70">
        <v>2.502840518951416</v>
      </c>
      <c r="K70">
        <v>0.91742630000000003</v>
      </c>
      <c r="L70">
        <f t="shared" si="2"/>
        <v>35.088267212069539</v>
      </c>
      <c r="M70">
        <v>0.53067731857299805</v>
      </c>
      <c r="N70">
        <v>26.908387625890789</v>
      </c>
      <c r="O70">
        <v>22.827908063955618</v>
      </c>
      <c r="P70">
        <v>7.7869999999999999</v>
      </c>
      <c r="Q70">
        <v>0.69977409999999995</v>
      </c>
      <c r="R70">
        <v>2.2063352284535327</v>
      </c>
      <c r="S70">
        <v>1.440384158065271</v>
      </c>
      <c r="T70">
        <v>163.44711253688251</v>
      </c>
    </row>
    <row r="71" spans="1:20" x14ac:dyDescent="0.3">
      <c r="A71">
        <v>4</v>
      </c>
      <c r="B71">
        <v>2011</v>
      </c>
      <c r="C71" t="s">
        <v>16</v>
      </c>
      <c r="D71" t="s">
        <v>17</v>
      </c>
      <c r="E71">
        <v>9.1264228820800781</v>
      </c>
      <c r="F71">
        <v>2.2111740000000002</v>
      </c>
      <c r="G71">
        <f t="shared" si="3"/>
        <v>41.14125845201098</v>
      </c>
      <c r="H71">
        <v>4.3359007835388184</v>
      </c>
      <c r="I71">
        <v>90.509983971457387</v>
      </c>
      <c r="J71">
        <v>3.8845727443695068</v>
      </c>
      <c r="K71">
        <v>1.357013</v>
      </c>
      <c r="L71">
        <f t="shared" si="2"/>
        <v>47.915205831792704</v>
      </c>
      <c r="M71">
        <v>1.3817322254180908</v>
      </c>
      <c r="N71">
        <v>55.206562901457978</v>
      </c>
      <c r="O71">
        <v>22.094262566237017</v>
      </c>
      <c r="P71">
        <v>8.0380000000000003</v>
      </c>
      <c r="Q71">
        <v>0.87458000000000002</v>
      </c>
      <c r="R71">
        <v>6.3402800039668614</v>
      </c>
      <c r="S71">
        <v>0.35772663576231878</v>
      </c>
      <c r="T71">
        <v>151.14832961383925</v>
      </c>
    </row>
    <row r="72" spans="1:20" x14ac:dyDescent="0.3">
      <c r="A72">
        <v>4</v>
      </c>
      <c r="B72">
        <v>2012</v>
      </c>
      <c r="C72" t="s">
        <v>16</v>
      </c>
      <c r="D72" t="s">
        <v>17</v>
      </c>
      <c r="E72">
        <v>2.36118483543396</v>
      </c>
      <c r="F72">
        <v>0.85916349999999997</v>
      </c>
      <c r="G72">
        <f t="shared" si="3"/>
        <v>-61.144464433825654</v>
      </c>
      <c r="H72">
        <v>-6.7652380466461182</v>
      </c>
      <c r="I72">
        <v>-74.128036077857018</v>
      </c>
      <c r="J72">
        <v>2.5641043186187744</v>
      </c>
      <c r="K72">
        <v>0.94160920000000004</v>
      </c>
      <c r="L72">
        <f t="shared" si="2"/>
        <v>-30.611630102290839</v>
      </c>
      <c r="M72">
        <v>-1.3204684257507324</v>
      </c>
      <c r="N72">
        <v>-33.992629631268592</v>
      </c>
      <c r="O72">
        <v>22.415512497702363</v>
      </c>
      <c r="P72">
        <v>7.8849999999999998</v>
      </c>
      <c r="Q72">
        <v>0.82725079999999995</v>
      </c>
      <c r="R72">
        <v>0.92068847074500193</v>
      </c>
      <c r="S72">
        <v>0.8095118417729168</v>
      </c>
      <c r="T72">
        <v>147.76817823104017</v>
      </c>
    </row>
    <row r="73" spans="1:20" x14ac:dyDescent="0.3">
      <c r="A73">
        <v>4</v>
      </c>
      <c r="B73">
        <v>2013</v>
      </c>
      <c r="C73" t="s">
        <v>16</v>
      </c>
      <c r="D73" t="s">
        <v>17</v>
      </c>
      <c r="E73">
        <v>3.2517309188842773</v>
      </c>
      <c r="F73">
        <v>1.179187</v>
      </c>
      <c r="G73">
        <f t="shared" si="3"/>
        <v>37.248265318533669</v>
      </c>
      <c r="H73">
        <v>0.89054608345031738</v>
      </c>
      <c r="I73">
        <v>37.716068224986913</v>
      </c>
      <c r="J73">
        <v>2.2916634082794189</v>
      </c>
      <c r="K73">
        <v>0.82927790000000001</v>
      </c>
      <c r="L73">
        <f t="shared" si="2"/>
        <v>-11.929715639991626</v>
      </c>
      <c r="M73">
        <v>-0.27244091033935547</v>
      </c>
      <c r="N73">
        <v>-10.625188232829515</v>
      </c>
      <c r="O73">
        <v>21.150289020585944</v>
      </c>
      <c r="P73">
        <v>7.5250000000000004</v>
      </c>
      <c r="Q73">
        <v>0.51266089999999997</v>
      </c>
      <c r="R73">
        <v>2.1859194768628907</v>
      </c>
      <c r="S73">
        <v>1.1128556432920647</v>
      </c>
      <c r="T73">
        <v>145.14535011496267</v>
      </c>
    </row>
    <row r="74" spans="1:20" x14ac:dyDescent="0.3">
      <c r="A74">
        <v>4</v>
      </c>
      <c r="B74">
        <v>2014</v>
      </c>
      <c r="C74" t="s">
        <v>16</v>
      </c>
      <c r="D74" t="s">
        <v>17</v>
      </c>
      <c r="E74">
        <v>-7.3652348518371582</v>
      </c>
      <c r="F74">
        <v>1.179187</v>
      </c>
      <c r="G74">
        <f t="shared" si="3"/>
        <v>0</v>
      </c>
      <c r="H74">
        <v>-10.616965770721436</v>
      </c>
      <c r="I74">
        <v>-326.50197804079966</v>
      </c>
      <c r="J74">
        <v>1.4256634712219238</v>
      </c>
      <c r="K74">
        <v>0.35463729999999999</v>
      </c>
      <c r="L74">
        <f t="shared" si="2"/>
        <v>-57.235409263890915</v>
      </c>
      <c r="M74">
        <v>-0.86599993705749512</v>
      </c>
      <c r="N74">
        <v>-37.789141892686935</v>
      </c>
      <c r="O74">
        <v>20.612355128605746</v>
      </c>
      <c r="P74">
        <v>6.11</v>
      </c>
      <c r="Q74">
        <v>0.54294909999999996</v>
      </c>
      <c r="R74">
        <v>9.241677556793606</v>
      </c>
      <c r="S74">
        <v>2.4385744049513818</v>
      </c>
      <c r="T74">
        <v>135.30282803576617</v>
      </c>
    </row>
    <row r="75" spans="1:20" x14ac:dyDescent="0.3">
      <c r="A75">
        <v>4</v>
      </c>
      <c r="B75">
        <v>2015</v>
      </c>
      <c r="C75" t="s">
        <v>16</v>
      </c>
      <c r="D75" t="s">
        <v>17</v>
      </c>
      <c r="E75">
        <v>-6.6438474655151367</v>
      </c>
      <c r="F75">
        <v>1.179187</v>
      </c>
      <c r="G75">
        <f t="shared" si="3"/>
        <v>0</v>
      </c>
      <c r="H75">
        <v>0.72138738632202148</v>
      </c>
      <c r="I75">
        <v>-9.7944926514065092</v>
      </c>
      <c r="J75">
        <v>0.40160796046257019</v>
      </c>
      <c r="K75">
        <v>-0.9122789</v>
      </c>
      <c r="L75">
        <f t="shared" si="2"/>
        <v>-357.24279425768242</v>
      </c>
      <c r="M75">
        <v>-1.0240555107593536</v>
      </c>
      <c r="N75">
        <v>-71.830100962160756</v>
      </c>
      <c r="O75">
        <v>20.333366206597507</v>
      </c>
      <c r="P75">
        <v>5.3010000000000002</v>
      </c>
      <c r="Q75">
        <v>0.57414920000000003</v>
      </c>
      <c r="R75">
        <v>-5.2176337494482654</v>
      </c>
      <c r="S75">
        <v>1.4134986825554847</v>
      </c>
      <c r="T75">
        <v>134.09082726351991</v>
      </c>
    </row>
    <row r="76" spans="1:20" x14ac:dyDescent="0.3">
      <c r="A76">
        <v>4</v>
      </c>
      <c r="B76">
        <v>2016</v>
      </c>
      <c r="C76" t="s">
        <v>16</v>
      </c>
      <c r="D76" t="s">
        <v>17</v>
      </c>
      <c r="E76">
        <v>1.9666666984558105</v>
      </c>
      <c r="F76">
        <v>0.6763401</v>
      </c>
      <c r="G76">
        <f t="shared" si="3"/>
        <v>-42.64352473356643</v>
      </c>
      <c r="H76">
        <v>8.6105141639709473</v>
      </c>
      <c r="I76">
        <v>-129.60132225587336</v>
      </c>
      <c r="J76">
        <v>1</v>
      </c>
      <c r="K76">
        <v>0</v>
      </c>
      <c r="L76">
        <f t="shared" si="2"/>
        <v>-100</v>
      </c>
      <c r="M76">
        <v>0.59839203953742981</v>
      </c>
      <c r="N76">
        <v>148.99904843723832</v>
      </c>
      <c r="O76">
        <v>19.410487310740621</v>
      </c>
      <c r="P76">
        <v>4.8099999999999996</v>
      </c>
      <c r="Q76">
        <v>0.49899169999999998</v>
      </c>
      <c r="R76">
        <v>-8.8495716371831179</v>
      </c>
      <c r="S76">
        <v>1.1515493298710737</v>
      </c>
      <c r="T76">
        <v>140.27545069527955</v>
      </c>
    </row>
    <row r="77" spans="1:20" x14ac:dyDescent="0.3">
      <c r="A77">
        <v>4</v>
      </c>
      <c r="B77">
        <v>2017</v>
      </c>
      <c r="C77" t="s">
        <v>16</v>
      </c>
      <c r="D77" t="s">
        <v>17</v>
      </c>
      <c r="E77">
        <v>6.1131100654602051</v>
      </c>
      <c r="F77">
        <v>1.8104359999999999</v>
      </c>
      <c r="G77">
        <f t="shared" si="3"/>
        <v>167.68130412495134</v>
      </c>
      <c r="H77">
        <v>4.1464433670043945</v>
      </c>
      <c r="I77">
        <v>210.8360999990544</v>
      </c>
      <c r="J77">
        <v>2.6829999999999998</v>
      </c>
      <c r="K77">
        <v>0.98693560000000002</v>
      </c>
      <c r="L77" t="e">
        <f t="shared" si="2"/>
        <v>#DIV/0!</v>
      </c>
      <c r="M77">
        <v>1.6829999999999998</v>
      </c>
      <c r="N77">
        <v>168.29999999999998</v>
      </c>
      <c r="O77">
        <v>18.661912189908438</v>
      </c>
      <c r="P77">
        <v>4.33</v>
      </c>
      <c r="Q77">
        <v>0.35895169999999998</v>
      </c>
      <c r="R77">
        <v>-1.0079572667326575</v>
      </c>
      <c r="S77">
        <v>1.9600209935700832</v>
      </c>
      <c r="T77">
        <v>145.28677798895743</v>
      </c>
    </row>
    <row r="78" spans="1:20" x14ac:dyDescent="0.3">
      <c r="A78">
        <v>4</v>
      </c>
      <c r="B78">
        <v>2018</v>
      </c>
      <c r="C78" t="s">
        <v>16</v>
      </c>
      <c r="D78" t="s">
        <v>17</v>
      </c>
      <c r="E78">
        <v>3.6968569755554199</v>
      </c>
      <c r="F78">
        <v>1.307483</v>
      </c>
      <c r="G78">
        <f t="shared" si="3"/>
        <v>-27.780766621962886</v>
      </c>
      <c r="H78">
        <v>-2.4162530899047852</v>
      </c>
      <c r="I78">
        <v>-39.525757986215574</v>
      </c>
      <c r="J78">
        <v>2.3199999999999998</v>
      </c>
      <c r="K78">
        <v>0.84156719999999996</v>
      </c>
      <c r="L78">
        <f t="shared" si="2"/>
        <v>-14.729269062743311</v>
      </c>
      <c r="M78">
        <v>-0.36299999999999999</v>
      </c>
      <c r="N78">
        <v>-13.529631010063362</v>
      </c>
      <c r="O78">
        <v>18.574361177576659</v>
      </c>
      <c r="P78">
        <v>3.996</v>
      </c>
      <c r="Q78">
        <v>0.72283580000000003</v>
      </c>
      <c r="R78">
        <v>6.4864555444521867</v>
      </c>
      <c r="S78">
        <v>0.79121473501307094</v>
      </c>
      <c r="T78">
        <v>148.02374571621851</v>
      </c>
    </row>
    <row r="79" spans="1:20" x14ac:dyDescent="0.3">
      <c r="A79">
        <v>4</v>
      </c>
      <c r="B79">
        <v>2019</v>
      </c>
      <c r="C79" t="s">
        <v>16</v>
      </c>
      <c r="D79" t="s">
        <v>17</v>
      </c>
      <c r="E79">
        <v>0.81699448823928833</v>
      </c>
      <c r="F79">
        <v>-0.20212289999999999</v>
      </c>
      <c r="G79">
        <f t="shared" si="3"/>
        <v>-115.45893139719598</v>
      </c>
      <c r="H79">
        <v>-2.8798624873161316</v>
      </c>
      <c r="I79">
        <v>-77.900294935901812</v>
      </c>
      <c r="J79">
        <v>1.7910000085830688</v>
      </c>
      <c r="K79">
        <v>0.58277409999999996</v>
      </c>
      <c r="L79">
        <f t="shared" si="2"/>
        <v>-30.751329186783899</v>
      </c>
      <c r="M79">
        <v>-0.52899999141693099</v>
      </c>
      <c r="N79">
        <v>-22.801723767971165</v>
      </c>
      <c r="O79">
        <v>18.310898192013056</v>
      </c>
      <c r="P79">
        <v>3.7370000000000001</v>
      </c>
      <c r="Q79">
        <v>0.80784999999999996</v>
      </c>
      <c r="R79">
        <v>-1.2528494137523025</v>
      </c>
      <c r="S79">
        <v>1.0698333486747913</v>
      </c>
      <c r="T79">
        <v>140.67014903391839</v>
      </c>
    </row>
    <row r="80" spans="1:20" x14ac:dyDescent="0.3">
      <c r="A80">
        <v>4</v>
      </c>
      <c r="B80">
        <v>2020</v>
      </c>
      <c r="C80" t="s">
        <v>16</v>
      </c>
      <c r="D80" t="s">
        <v>17</v>
      </c>
      <c r="E80">
        <v>-5.9125528112585299E-2</v>
      </c>
      <c r="F80">
        <v>-0.20212289999999999</v>
      </c>
      <c r="G80">
        <f t="shared" si="3"/>
        <v>0</v>
      </c>
      <c r="H80">
        <v>-0.87612001635187364</v>
      </c>
      <c r="I80">
        <v>-107.23695556869757</v>
      </c>
      <c r="J80">
        <v>0.98948670377307502</v>
      </c>
      <c r="K80">
        <v>-1.0569E-2</v>
      </c>
      <c r="L80">
        <f t="shared" si="2"/>
        <v>-101.81356721240702</v>
      </c>
      <c r="M80">
        <v>-0.80151330480999383</v>
      </c>
      <c r="N80">
        <v>-44.752278111048298</v>
      </c>
      <c r="O80">
        <v>26.080840645386949</v>
      </c>
      <c r="P80">
        <v>4.4720000000000004</v>
      </c>
      <c r="Q80">
        <v>0.29499999999999998</v>
      </c>
      <c r="R80">
        <v>-5.7322574499899828</v>
      </c>
      <c r="S80">
        <v>-10.687168020963043</v>
      </c>
      <c r="T80">
        <v>163.83123412764792</v>
      </c>
    </row>
    <row r="81" spans="1:20" x14ac:dyDescent="0.3">
      <c r="A81">
        <v>4</v>
      </c>
      <c r="B81">
        <v>2021</v>
      </c>
      <c r="C81" t="s">
        <v>16</v>
      </c>
      <c r="D81" t="s">
        <v>17</v>
      </c>
      <c r="E81">
        <v>5.0410229876561399</v>
      </c>
      <c r="F81">
        <v>1.6176090000000001</v>
      </c>
      <c r="G81">
        <f t="shared" si="3"/>
        <v>-900.30961360637514</v>
      </c>
      <c r="H81">
        <v>5.1001485157687254</v>
      </c>
      <c r="I81">
        <v>-8625.9669529837502</v>
      </c>
      <c r="J81">
        <v>2.5</v>
      </c>
      <c r="K81">
        <v>0.91629079999999996</v>
      </c>
      <c r="L81">
        <f t="shared" si="2"/>
        <v>-8769.6073422272693</v>
      </c>
      <c r="M81">
        <v>1.510513296226925</v>
      </c>
      <c r="N81">
        <v>152.65624999983226</v>
      </c>
      <c r="O81">
        <v>22.092274391560014</v>
      </c>
      <c r="P81">
        <v>4.8259999999999996</v>
      </c>
      <c r="Q81">
        <v>0.09</v>
      </c>
      <c r="R81">
        <v>16.542130332907824</v>
      </c>
      <c r="S81">
        <v>8.7639858225687846</v>
      </c>
      <c r="T81">
        <v>165.62540087273689</v>
      </c>
    </row>
    <row r="82" spans="1:20" x14ac:dyDescent="0.3">
      <c r="A82">
        <v>5</v>
      </c>
      <c r="B82">
        <v>2002</v>
      </c>
      <c r="C82" t="s">
        <v>18</v>
      </c>
      <c r="D82" t="s">
        <v>19</v>
      </c>
      <c r="E82">
        <v>-2.2915058135986328</v>
      </c>
      <c r="F82">
        <v>1.6176090000000001</v>
      </c>
      <c r="G82">
        <f t="shared" si="3"/>
        <v>0</v>
      </c>
      <c r="H82">
        <v>-3.3965409994125366</v>
      </c>
      <c r="I82">
        <v>-3.3965409994125366</v>
      </c>
      <c r="J82">
        <v>1.5860344171524048</v>
      </c>
      <c r="K82">
        <v>0.4612368</v>
      </c>
      <c r="L82">
        <f t="shared" si="2"/>
        <v>-49.662618024758075</v>
      </c>
      <c r="M82">
        <v>-1.2401372194290161</v>
      </c>
      <c r="N82">
        <v>-1.2401372194290161</v>
      </c>
      <c r="O82">
        <v>-43.880463712002452</v>
      </c>
      <c r="P82">
        <v>5.7830000000000004</v>
      </c>
      <c r="Q82">
        <v>1.725833</v>
      </c>
      <c r="R82">
        <v>2.3271000010645189</v>
      </c>
      <c r="S82">
        <v>0.7567740508585814</v>
      </c>
      <c r="T82">
        <v>72.448685937664095</v>
      </c>
    </row>
    <row r="83" spans="1:20" x14ac:dyDescent="0.3">
      <c r="A83">
        <v>5</v>
      </c>
      <c r="B83">
        <v>2003</v>
      </c>
      <c r="C83" t="s">
        <v>18</v>
      </c>
      <c r="D83" t="s">
        <v>19</v>
      </c>
      <c r="E83">
        <v>5.3451519012451172</v>
      </c>
      <c r="F83">
        <v>1.6761900000000001</v>
      </c>
      <c r="G83">
        <f t="shared" si="3"/>
        <v>3.6214561120765274</v>
      </c>
      <c r="H83">
        <v>7.63665771484375</v>
      </c>
      <c r="I83">
        <v>7.63665771484375</v>
      </c>
      <c r="J83">
        <v>2.2700941562652588</v>
      </c>
      <c r="K83">
        <v>0.81982129999999998</v>
      </c>
      <c r="L83">
        <f t="shared" si="2"/>
        <v>77.744121891401548</v>
      </c>
      <c r="M83">
        <v>0.684059739112854</v>
      </c>
      <c r="N83">
        <v>0.684059739112854</v>
      </c>
      <c r="O83">
        <v>43.13019514047037</v>
      </c>
      <c r="P83">
        <v>5.9889999999999999</v>
      </c>
      <c r="Q83">
        <v>1.150833</v>
      </c>
      <c r="R83">
        <v>3.9279034128756765</v>
      </c>
      <c r="S83">
        <v>1.9164804509122462</v>
      </c>
      <c r="T83">
        <v>72.157508404068395</v>
      </c>
    </row>
    <row r="84" spans="1:20" x14ac:dyDescent="0.3">
      <c r="A84">
        <v>5</v>
      </c>
      <c r="B84">
        <v>2004</v>
      </c>
      <c r="C84" t="s">
        <v>18</v>
      </c>
      <c r="D84" t="s">
        <v>19</v>
      </c>
      <c r="E84">
        <v>6.1839947700500488</v>
      </c>
      <c r="F84">
        <v>1.8219650000000001</v>
      </c>
      <c r="G84">
        <f t="shared" si="3"/>
        <v>8.6968064479563765</v>
      </c>
      <c r="H84">
        <v>0.83884286880493164</v>
      </c>
      <c r="I84">
        <v>0.83884286880493164</v>
      </c>
      <c r="J84">
        <v>2.6772384643554688</v>
      </c>
      <c r="K84">
        <v>0.98478589999999999</v>
      </c>
      <c r="L84">
        <f t="shared" si="2"/>
        <v>20.122019274200369</v>
      </c>
      <c r="M84">
        <v>0.40714430809020996</v>
      </c>
      <c r="N84">
        <v>0.40714430809020996</v>
      </c>
      <c r="O84">
        <v>17.935128680302874</v>
      </c>
      <c r="P84">
        <v>5.5289999999999999</v>
      </c>
      <c r="Q84">
        <v>1.5633330000000001</v>
      </c>
      <c r="R84">
        <v>5.6579921906548831</v>
      </c>
      <c r="S84">
        <v>2.8958477785004533</v>
      </c>
      <c r="T84">
        <v>71.549657210201303</v>
      </c>
    </row>
    <row r="85" spans="1:20" x14ac:dyDescent="0.3">
      <c r="A85">
        <v>5</v>
      </c>
      <c r="B85">
        <v>2005</v>
      </c>
      <c r="C85" t="s">
        <v>18</v>
      </c>
      <c r="D85" t="s">
        <v>19</v>
      </c>
      <c r="E85">
        <v>7.3181653022766113</v>
      </c>
      <c r="F85">
        <v>1.9903599999999999</v>
      </c>
      <c r="G85">
        <f t="shared" si="3"/>
        <v>9.2424936812726823</v>
      </c>
      <c r="H85">
        <v>1.1341705322265625</v>
      </c>
      <c r="I85">
        <v>1.1341705322265625</v>
      </c>
      <c r="J85">
        <v>3.3927452564239502</v>
      </c>
      <c r="K85">
        <v>1.2216389999999999</v>
      </c>
      <c r="L85">
        <f t="shared" si="2"/>
        <v>24.051227784638257</v>
      </c>
      <c r="M85">
        <v>0.71550679206848145</v>
      </c>
      <c r="N85">
        <v>0.71550679206848145</v>
      </c>
      <c r="O85">
        <v>26.725553274192031</v>
      </c>
      <c r="P85">
        <v>5.0839999999999996</v>
      </c>
      <c r="Q85">
        <v>3.5116670000000001</v>
      </c>
      <c r="R85">
        <v>5.7490631924226427</v>
      </c>
      <c r="S85">
        <v>2.5337841136674086</v>
      </c>
      <c r="T85">
        <v>72.451489826238287</v>
      </c>
    </row>
    <row r="86" spans="1:20" x14ac:dyDescent="0.3">
      <c r="A86">
        <v>5</v>
      </c>
      <c r="B86">
        <v>2006</v>
      </c>
      <c r="C86" t="s">
        <v>18</v>
      </c>
      <c r="D86" t="s">
        <v>19</v>
      </c>
      <c r="E86">
        <v>4.6696467399597168</v>
      </c>
      <c r="F86">
        <v>1.541083</v>
      </c>
      <c r="G86">
        <f t="shared" si="3"/>
        <v>-22.572650173837896</v>
      </c>
      <c r="H86">
        <v>-2.6485185623168945</v>
      </c>
      <c r="I86">
        <v>-2.6485185623168945</v>
      </c>
      <c r="J86">
        <v>3.2259416580200195</v>
      </c>
      <c r="K86">
        <v>1.171225</v>
      </c>
      <c r="L86">
        <f t="shared" si="2"/>
        <v>-4.1267510287408928</v>
      </c>
      <c r="M86">
        <v>-0.16680359840393066</v>
      </c>
      <c r="N86">
        <v>-0.16680359840393066</v>
      </c>
      <c r="O86">
        <v>-4.9164787155209639</v>
      </c>
      <c r="P86">
        <v>4.6230000000000002</v>
      </c>
      <c r="Q86">
        <v>5.1533329999999999</v>
      </c>
      <c r="R86">
        <v>4.937501332903131</v>
      </c>
      <c r="S86">
        <v>1.7964863258296759</v>
      </c>
      <c r="T86">
        <v>74.53609724987777</v>
      </c>
    </row>
    <row r="87" spans="1:20" x14ac:dyDescent="0.3">
      <c r="A87">
        <v>5</v>
      </c>
      <c r="B87">
        <v>2007</v>
      </c>
      <c r="C87" t="s">
        <v>18</v>
      </c>
      <c r="D87" t="s">
        <v>19</v>
      </c>
      <c r="E87">
        <v>4.8001976013183594</v>
      </c>
      <c r="F87">
        <v>1.568657</v>
      </c>
      <c r="G87">
        <f t="shared" si="3"/>
        <v>1.7892611883980285</v>
      </c>
      <c r="H87">
        <v>0.13055086135864258</v>
      </c>
      <c r="I87">
        <v>0.13055086135864258</v>
      </c>
      <c r="J87">
        <v>2.8526782989501953</v>
      </c>
      <c r="K87">
        <v>1.0482579999999999</v>
      </c>
      <c r="L87">
        <f t="shared" si="2"/>
        <v>-10.499007449465308</v>
      </c>
      <c r="M87">
        <v>-0.37326335906982422</v>
      </c>
      <c r="N87">
        <v>-0.37326335906982422</v>
      </c>
      <c r="O87">
        <v>-11.570679157877933</v>
      </c>
      <c r="P87">
        <v>4.6219999999999999</v>
      </c>
      <c r="Q87">
        <v>5.2683330000000002</v>
      </c>
      <c r="R87">
        <v>3.7756962202097988</v>
      </c>
      <c r="S87">
        <v>1.0449301367758608</v>
      </c>
      <c r="T87">
        <v>79.47787195810993</v>
      </c>
    </row>
    <row r="88" spans="1:20" x14ac:dyDescent="0.3">
      <c r="A88">
        <v>5</v>
      </c>
      <c r="B88">
        <v>2008</v>
      </c>
      <c r="C88" t="s">
        <v>18</v>
      </c>
      <c r="D88" t="s">
        <v>19</v>
      </c>
      <c r="E88">
        <v>9.8074235916137695</v>
      </c>
      <c r="F88">
        <v>2.2831399999999999</v>
      </c>
      <c r="G88">
        <f t="shared" si="3"/>
        <v>45.547433250226149</v>
      </c>
      <c r="H88">
        <v>5.0072259902954102</v>
      </c>
      <c r="I88">
        <v>5.0072259902954102</v>
      </c>
      <c r="J88">
        <v>3.8391003608703613</v>
      </c>
      <c r="K88">
        <v>1.3452379999999999</v>
      </c>
      <c r="L88">
        <f t="shared" si="2"/>
        <v>28.330811689488662</v>
      </c>
      <c r="M88">
        <v>0.98642206192016602</v>
      </c>
      <c r="N88">
        <v>0.98642206192016602</v>
      </c>
      <c r="O88">
        <v>34.578804847471794</v>
      </c>
      <c r="P88">
        <v>5.7839999999999998</v>
      </c>
      <c r="Q88">
        <v>2.9649999999999999</v>
      </c>
      <c r="R88">
        <v>1.0818309728510449</v>
      </c>
      <c r="S88">
        <v>-0.82036789852415382</v>
      </c>
      <c r="T88">
        <v>84.254404398011275</v>
      </c>
    </row>
    <row r="89" spans="1:20" x14ac:dyDescent="0.3">
      <c r="A89">
        <v>5</v>
      </c>
      <c r="B89">
        <v>2009</v>
      </c>
      <c r="C89" t="s">
        <v>18</v>
      </c>
      <c r="D89" t="s">
        <v>19</v>
      </c>
      <c r="E89">
        <v>-8.8381748199462891</v>
      </c>
      <c r="F89">
        <v>2.2831399999999999</v>
      </c>
      <c r="G89">
        <f t="shared" si="3"/>
        <v>0</v>
      </c>
      <c r="H89">
        <v>-18.645598411560059</v>
      </c>
      <c r="I89">
        <v>-18.645598411560059</v>
      </c>
      <c r="J89">
        <v>-0.35554906725883484</v>
      </c>
      <c r="K89">
        <v>1.3452379999999999</v>
      </c>
      <c r="L89">
        <f t="shared" si="2"/>
        <v>0</v>
      </c>
      <c r="M89">
        <v>-4.1946494281291962</v>
      </c>
      <c r="N89">
        <v>-4.1946494281291962</v>
      </c>
      <c r="O89">
        <v>-109.26126003067627</v>
      </c>
      <c r="P89">
        <v>9.2539999999999996</v>
      </c>
      <c r="Q89">
        <v>0.55583329999999997</v>
      </c>
      <c r="R89">
        <v>-2.8311742308793724</v>
      </c>
      <c r="S89">
        <v>-3.4500159232143517</v>
      </c>
      <c r="T89">
        <v>90.690697015166464</v>
      </c>
    </row>
    <row r="90" spans="1:20" x14ac:dyDescent="0.3">
      <c r="A90">
        <v>5</v>
      </c>
      <c r="B90">
        <v>2010</v>
      </c>
      <c r="C90" t="s">
        <v>18</v>
      </c>
      <c r="D90" t="s">
        <v>19</v>
      </c>
      <c r="E90">
        <v>4.4800891876220703</v>
      </c>
      <c r="F90">
        <v>1.4996430000000001</v>
      </c>
      <c r="G90">
        <f t="shared" si="3"/>
        <v>-34.316642869031242</v>
      </c>
      <c r="H90">
        <v>13.318264007568359</v>
      </c>
      <c r="I90">
        <v>13.318264007568359</v>
      </c>
      <c r="J90">
        <v>1.6400398015975952</v>
      </c>
      <c r="K90">
        <v>0.49472050000000001</v>
      </c>
      <c r="L90">
        <f t="shared" si="2"/>
        <v>-63.224314210570917</v>
      </c>
      <c r="M90">
        <v>1.9955888688564301</v>
      </c>
      <c r="N90">
        <v>1.9955888688564301</v>
      </c>
      <c r="O90">
        <v>-561.26961160150324</v>
      </c>
      <c r="P90">
        <v>9.6329999999999991</v>
      </c>
      <c r="Q90">
        <v>0.31166670000000002</v>
      </c>
      <c r="R90">
        <v>3.084440133042349</v>
      </c>
      <c r="S90">
        <v>1.8602916780589283</v>
      </c>
      <c r="T90">
        <v>84.848819454809927</v>
      </c>
    </row>
    <row r="91" spans="1:20" x14ac:dyDescent="0.3">
      <c r="A91">
        <v>5</v>
      </c>
      <c r="B91">
        <v>2011</v>
      </c>
      <c r="C91" t="s">
        <v>18</v>
      </c>
      <c r="D91" t="s">
        <v>19</v>
      </c>
      <c r="E91">
        <v>3.8722920417785645</v>
      </c>
      <c r="F91">
        <v>1.353847</v>
      </c>
      <c r="G91">
        <f t="shared" si="3"/>
        <v>-9.7220471805623099</v>
      </c>
      <c r="H91">
        <v>-0.60779714584350586</v>
      </c>
      <c r="I91">
        <v>-0.60779714584350586</v>
      </c>
      <c r="J91">
        <v>3.1568465232849121</v>
      </c>
      <c r="K91">
        <v>1.1495740000000001</v>
      </c>
      <c r="L91">
        <f t="shared" si="2"/>
        <v>132.36837770013574</v>
      </c>
      <c r="M91">
        <v>1.5168067216873169</v>
      </c>
      <c r="N91">
        <v>1.5168067216873169</v>
      </c>
      <c r="O91">
        <v>92.485970170343762</v>
      </c>
      <c r="P91">
        <v>8.9489999999999998</v>
      </c>
      <c r="Q91">
        <v>0.30333329999999997</v>
      </c>
      <c r="R91">
        <v>2.9091565595694706</v>
      </c>
      <c r="S91">
        <v>0.814519357932042</v>
      </c>
      <c r="T91">
        <v>87.323685475295903</v>
      </c>
    </row>
    <row r="92" spans="1:20" x14ac:dyDescent="0.3">
      <c r="A92">
        <v>5</v>
      </c>
      <c r="B92">
        <v>2012</v>
      </c>
      <c r="C92" t="s">
        <v>18</v>
      </c>
      <c r="D92" t="s">
        <v>19</v>
      </c>
      <c r="E92">
        <v>1.8600245714187622</v>
      </c>
      <c r="F92">
        <v>0.62058970000000002</v>
      </c>
      <c r="G92">
        <f t="shared" si="3"/>
        <v>-54.161016717546374</v>
      </c>
      <c r="H92">
        <v>-2.0122674703598022</v>
      </c>
      <c r="I92">
        <v>-2.0122674703598022</v>
      </c>
      <c r="J92">
        <v>2.0693306922912598</v>
      </c>
      <c r="K92">
        <v>0.72722520000000002</v>
      </c>
      <c r="L92">
        <f t="shared" si="2"/>
        <v>-36.739592231557083</v>
      </c>
      <c r="M92">
        <v>-1.0875158309936523</v>
      </c>
      <c r="N92">
        <v>-1.0875158309936523</v>
      </c>
      <c r="O92">
        <v>-34.449436264073384</v>
      </c>
      <c r="P92">
        <v>8.0690000000000008</v>
      </c>
      <c r="Q92">
        <v>0.28249999999999997</v>
      </c>
      <c r="R92">
        <v>3.4323757028964064</v>
      </c>
      <c r="S92">
        <v>1.5331020353912947</v>
      </c>
      <c r="T92">
        <v>87.916840355393546</v>
      </c>
    </row>
    <row r="93" spans="1:20" x14ac:dyDescent="0.3">
      <c r="A93">
        <v>5</v>
      </c>
      <c r="B93">
        <v>2013</v>
      </c>
      <c r="C93" t="s">
        <v>18</v>
      </c>
      <c r="D93" t="s">
        <v>19</v>
      </c>
      <c r="E93">
        <v>1.3618220090866089</v>
      </c>
      <c r="F93">
        <v>0.30882349999999997</v>
      </c>
      <c r="G93">
        <f t="shared" si="3"/>
        <v>-50.237089013884706</v>
      </c>
      <c r="H93">
        <v>-0.49820256233215332</v>
      </c>
      <c r="I93">
        <v>-0.49820256233215332</v>
      </c>
      <c r="J93">
        <v>1.4648375511169434</v>
      </c>
      <c r="K93">
        <v>0.38174439999999998</v>
      </c>
      <c r="L93">
        <f t="shared" si="2"/>
        <v>-47.506714563796749</v>
      </c>
      <c r="M93">
        <v>-0.60449314117431641</v>
      </c>
      <c r="N93">
        <v>-0.60449314117431641</v>
      </c>
      <c r="O93">
        <v>-29.212012532660658</v>
      </c>
      <c r="P93">
        <v>7.375</v>
      </c>
      <c r="Q93">
        <v>0.1666667</v>
      </c>
      <c r="R93">
        <v>2.9095800566093555</v>
      </c>
      <c r="S93">
        <v>1.1386923466660619</v>
      </c>
      <c r="T93">
        <v>88.660082229529451</v>
      </c>
    </row>
    <row r="94" spans="1:20" x14ac:dyDescent="0.3">
      <c r="A94">
        <v>5</v>
      </c>
      <c r="B94">
        <v>2014</v>
      </c>
      <c r="C94" t="s">
        <v>18</v>
      </c>
      <c r="D94" t="s">
        <v>19</v>
      </c>
      <c r="E94">
        <v>1.580148458480835</v>
      </c>
      <c r="F94">
        <v>0.4575188</v>
      </c>
      <c r="G94">
        <f t="shared" si="3"/>
        <v>48.148958871329427</v>
      </c>
      <c r="H94">
        <v>0.21832644939422607</v>
      </c>
      <c r="I94">
        <v>0.21832644939422607</v>
      </c>
      <c r="J94">
        <v>1.6222240924835205</v>
      </c>
      <c r="K94">
        <v>0.48379810000000001</v>
      </c>
      <c r="L94">
        <f t="shared" si="2"/>
        <v>26.733515933698055</v>
      </c>
      <c r="M94">
        <v>0.15738654136657715</v>
      </c>
      <c r="N94">
        <v>0.15738654136657715</v>
      </c>
      <c r="O94">
        <v>10.744300024707137</v>
      </c>
      <c r="P94">
        <v>6.1680000000000001</v>
      </c>
      <c r="Q94">
        <v>0.1241667</v>
      </c>
      <c r="R94">
        <v>3.439075465722472</v>
      </c>
      <c r="S94">
        <v>1.5403806486639695</v>
      </c>
      <c r="T94">
        <v>89.492184445181607</v>
      </c>
    </row>
    <row r="95" spans="1:20" x14ac:dyDescent="0.3">
      <c r="A95">
        <v>5</v>
      </c>
      <c r="B95">
        <v>2015</v>
      </c>
      <c r="C95" t="s">
        <v>18</v>
      </c>
      <c r="D95" t="s">
        <v>19</v>
      </c>
      <c r="E95">
        <v>-0.87171971797943115</v>
      </c>
      <c r="F95">
        <v>0.4575188</v>
      </c>
      <c r="G95">
        <f t="shared" si="3"/>
        <v>0</v>
      </c>
      <c r="H95">
        <v>-2.4518681764602661</v>
      </c>
      <c r="I95">
        <v>-2.4518681764602661</v>
      </c>
      <c r="J95">
        <v>0.11862505227327347</v>
      </c>
      <c r="K95">
        <v>-2.1317879999999998</v>
      </c>
      <c r="L95">
        <f t="shared" si="2"/>
        <v>-540.63587682547734</v>
      </c>
      <c r="M95">
        <v>-1.503599040210247</v>
      </c>
      <c r="N95">
        <v>-1.503599040210247</v>
      </c>
      <c r="O95">
        <v>-92.687505208256013</v>
      </c>
      <c r="P95">
        <v>5.28</v>
      </c>
      <c r="Q95">
        <v>0.2266667</v>
      </c>
      <c r="R95">
        <v>2.973086370109792</v>
      </c>
      <c r="S95">
        <v>1.9530041179062465</v>
      </c>
      <c r="T95">
        <v>88.982367082325837</v>
      </c>
    </row>
    <row r="96" spans="1:20" x14ac:dyDescent="0.3">
      <c r="A96">
        <v>5</v>
      </c>
      <c r="B96">
        <v>2016</v>
      </c>
      <c r="C96" t="s">
        <v>18</v>
      </c>
      <c r="D96" t="s">
        <v>19</v>
      </c>
      <c r="E96">
        <v>0.42453703284263611</v>
      </c>
      <c r="F96">
        <v>-0.85675599999999996</v>
      </c>
      <c r="G96">
        <f t="shared" si="3"/>
        <v>-287.26137592597286</v>
      </c>
      <c r="H96">
        <v>1.2962567508220673</v>
      </c>
      <c r="I96">
        <v>1.2962567508220673</v>
      </c>
      <c r="J96">
        <v>1.2615814208984375</v>
      </c>
      <c r="K96">
        <v>0.23236599999999999</v>
      </c>
      <c r="L96">
        <f t="shared" si="2"/>
        <v>-110.90005197514949</v>
      </c>
      <c r="M96">
        <v>1.142956368625164</v>
      </c>
      <c r="N96">
        <v>1.142956368625164</v>
      </c>
      <c r="O96">
        <v>963.50336351562987</v>
      </c>
      <c r="P96">
        <v>4.8689999999999998</v>
      </c>
      <c r="Q96">
        <v>0.64416660000000003</v>
      </c>
      <c r="R96">
        <v>1.9449654609220928</v>
      </c>
      <c r="S96">
        <v>0.93337536166571056</v>
      </c>
      <c r="T96">
        <v>89.990169082948299</v>
      </c>
    </row>
    <row r="97" spans="1:20" x14ac:dyDescent="0.3">
      <c r="A97">
        <v>5</v>
      </c>
      <c r="B97">
        <v>2017</v>
      </c>
      <c r="C97" t="s">
        <v>18</v>
      </c>
      <c r="D97" t="s">
        <v>19</v>
      </c>
      <c r="E97">
        <v>2.3250484466552734</v>
      </c>
      <c r="F97">
        <v>0.84374090000000002</v>
      </c>
      <c r="G97">
        <f t="shared" si="3"/>
        <v>-198.48088603989936</v>
      </c>
      <c r="H97">
        <v>1.9005114138126373</v>
      </c>
      <c r="I97">
        <v>1.9005114138126373</v>
      </c>
      <c r="J97">
        <v>2.1360000000000001</v>
      </c>
      <c r="K97">
        <v>0.75893489999999997</v>
      </c>
      <c r="L97">
        <f t="shared" si="2"/>
        <v>226.61185371353815</v>
      </c>
      <c r="M97">
        <v>0.87441857910156262</v>
      </c>
      <c r="N97">
        <v>0.87441857910156262</v>
      </c>
      <c r="O97">
        <v>69.311307587174511</v>
      </c>
      <c r="P97">
        <v>4.3550000000000004</v>
      </c>
      <c r="Q97">
        <v>1.1525000000000001</v>
      </c>
      <c r="R97">
        <v>3.5270850798673585</v>
      </c>
      <c r="S97">
        <v>1.5971355902837132</v>
      </c>
      <c r="T97">
        <v>90.523830668234964</v>
      </c>
    </row>
    <row r="98" spans="1:20" x14ac:dyDescent="0.3">
      <c r="A98">
        <v>5</v>
      </c>
      <c r="B98">
        <v>2018</v>
      </c>
      <c r="C98" t="s">
        <v>18</v>
      </c>
      <c r="D98" t="s">
        <v>19</v>
      </c>
      <c r="E98">
        <v>2.899301290512085</v>
      </c>
      <c r="F98">
        <v>1.06447</v>
      </c>
      <c r="G98">
        <f t="shared" si="3"/>
        <v>26.1607680746542</v>
      </c>
      <c r="H98">
        <v>0.57425284385681152</v>
      </c>
      <c r="I98">
        <v>0.57425284385681152</v>
      </c>
      <c r="J98">
        <v>2.44</v>
      </c>
      <c r="K98">
        <v>0.89199810000000002</v>
      </c>
      <c r="L98">
        <f t="shared" si="2"/>
        <v>17.532887208112324</v>
      </c>
      <c r="M98">
        <v>0.30399999999999983</v>
      </c>
      <c r="N98">
        <v>0.30399999999999983</v>
      </c>
      <c r="O98">
        <v>14.232209737827706</v>
      </c>
      <c r="P98">
        <v>3.8959999999999999</v>
      </c>
      <c r="Q98">
        <v>2.1883330000000001</v>
      </c>
      <c r="R98">
        <v>4.8667408973725985</v>
      </c>
      <c r="S98">
        <v>2.4048678720100014</v>
      </c>
      <c r="T98">
        <v>89.330388895335886</v>
      </c>
    </row>
    <row r="99" spans="1:20" x14ac:dyDescent="0.3">
      <c r="A99">
        <v>5</v>
      </c>
      <c r="B99">
        <v>2019</v>
      </c>
      <c r="C99" t="s">
        <v>18</v>
      </c>
      <c r="D99" t="s">
        <v>19</v>
      </c>
      <c r="E99">
        <v>1.6919907331466675</v>
      </c>
      <c r="F99">
        <v>0.52590579999999998</v>
      </c>
      <c r="G99">
        <f t="shared" si="3"/>
        <v>-50.594586977556908</v>
      </c>
      <c r="H99">
        <v>-1.2073105573654175</v>
      </c>
      <c r="I99">
        <v>-1.2073105573654175</v>
      </c>
      <c r="J99">
        <v>1.812000036239624</v>
      </c>
      <c r="K99">
        <v>0.59443120000000005</v>
      </c>
      <c r="L99">
        <f t="shared" si="2"/>
        <v>-33.359588994640234</v>
      </c>
      <c r="M99">
        <v>-0.62799996376037592</v>
      </c>
      <c r="N99">
        <v>-0.62799996376037592</v>
      </c>
      <c r="O99">
        <v>-25.737703432802295</v>
      </c>
      <c r="P99">
        <v>3.669</v>
      </c>
      <c r="Q99">
        <v>2.2075</v>
      </c>
      <c r="R99">
        <v>3.6564218682685978</v>
      </c>
      <c r="S99">
        <v>1.829668388093836</v>
      </c>
      <c r="T99">
        <v>92.986979505442108</v>
      </c>
    </row>
    <row r="100" spans="1:20" x14ac:dyDescent="0.3">
      <c r="A100">
        <v>5</v>
      </c>
      <c r="B100">
        <v>2020</v>
      </c>
      <c r="C100" t="s">
        <v>18</v>
      </c>
      <c r="D100" t="s">
        <v>19</v>
      </c>
      <c r="E100">
        <v>-2.1231937640570653</v>
      </c>
      <c r="F100">
        <v>0.52590579999999998</v>
      </c>
      <c r="G100">
        <f t="shared" si="3"/>
        <v>0</v>
      </c>
      <c r="H100">
        <v>-3.8151844972037328</v>
      </c>
      <c r="I100">
        <v>-3.8151844972037328</v>
      </c>
      <c r="J100">
        <v>1.2335843963066413</v>
      </c>
      <c r="K100">
        <v>0.2099241</v>
      </c>
      <c r="L100">
        <f t="shared" si="2"/>
        <v>-64.684878586453749</v>
      </c>
      <c r="M100">
        <v>-0.57841563993298273</v>
      </c>
      <c r="N100">
        <v>-0.57841563993298273</v>
      </c>
      <c r="O100">
        <v>-31.921392293862596</v>
      </c>
      <c r="P100">
        <v>8.0549999999999997</v>
      </c>
      <c r="Q100">
        <v>0.53363640000000001</v>
      </c>
      <c r="R100">
        <v>-2.4443346333435305</v>
      </c>
      <c r="S100">
        <v>-3.7009525282583269</v>
      </c>
      <c r="T100">
        <v>110.63876469340347</v>
      </c>
    </row>
    <row r="101" spans="1:20" x14ac:dyDescent="0.3">
      <c r="A101">
        <v>5</v>
      </c>
      <c r="B101">
        <v>2021</v>
      </c>
      <c r="C101" t="s">
        <v>18</v>
      </c>
      <c r="D101" t="s">
        <v>19</v>
      </c>
      <c r="E101">
        <v>8.9547963389928267</v>
      </c>
      <c r="F101">
        <v>2.1921889999999999</v>
      </c>
      <c r="G101">
        <f t="shared" si="3"/>
        <v>316.84062050656223</v>
      </c>
      <c r="H101">
        <v>11.077990103049892</v>
      </c>
      <c r="I101">
        <v>11.077990103049892</v>
      </c>
      <c r="J101">
        <v>4.6978590000000002</v>
      </c>
      <c r="K101">
        <v>1.547107</v>
      </c>
      <c r="L101">
        <f t="shared" si="2"/>
        <v>636.98398611688697</v>
      </c>
      <c r="M101">
        <v>3.4642746036933589</v>
      </c>
      <c r="N101">
        <v>3.4642746036933589</v>
      </c>
      <c r="O101">
        <v>280.82996299770139</v>
      </c>
      <c r="P101">
        <v>5.3490000000000002</v>
      </c>
      <c r="Q101">
        <v>0.1141667</v>
      </c>
      <c r="R101">
        <v>10.532003756728701</v>
      </c>
      <c r="S101">
        <v>5.779548418357777</v>
      </c>
      <c r="T101">
        <v>116.87242290148365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1EC3-D76A-4000-8D8C-380131A56931}">
  <dimension ref="A2:A45"/>
  <sheetViews>
    <sheetView workbookViewId="0">
      <selection activeCell="A2" sqref="A2:A45"/>
    </sheetView>
  </sheetViews>
  <sheetFormatPr defaultRowHeight="16.5" x14ac:dyDescent="0.3"/>
  <sheetData>
    <row r="2" spans="1:1" x14ac:dyDescent="0.3">
      <c r="A2">
        <f>LN(Sheet1!E4)</f>
        <v>1.7808699911161117</v>
      </c>
    </row>
    <row r="3" spans="1:1" x14ac:dyDescent="0.3">
      <c r="A3">
        <f>LN(Sheet1!E5)</f>
        <v>2.450263703304624</v>
      </c>
    </row>
    <row r="4" spans="1:1" x14ac:dyDescent="0.3">
      <c r="A4">
        <f>LN(Sheet1!E6)</f>
        <v>1.9957492458060782</v>
      </c>
    </row>
    <row r="5" spans="1:1" x14ac:dyDescent="0.3">
      <c r="A5">
        <f>LN(Sheet1!E7)</f>
        <v>1.9306184134787705</v>
      </c>
    </row>
    <row r="6" spans="1:1" x14ac:dyDescent="0.3">
      <c r="A6">
        <f>LN(Sheet1!E8)</f>
        <v>2.9002334487142685</v>
      </c>
    </row>
    <row r="7" spans="1:1" x14ac:dyDescent="0.3">
      <c r="A7" t="e">
        <f>LN(Sheet1!E9)</f>
        <v>#NUM!</v>
      </c>
    </row>
    <row r="8" spans="1:1" x14ac:dyDescent="0.3">
      <c r="A8">
        <f>LN(Sheet1!E10)</f>
        <v>2.330228342929292</v>
      </c>
    </row>
    <row r="9" spans="1:1" x14ac:dyDescent="0.3">
      <c r="A9">
        <f>LN(Sheet1!E11)</f>
        <v>2.6309385977898812</v>
      </c>
    </row>
    <row r="10" spans="1:1" x14ac:dyDescent="0.3">
      <c r="A10">
        <f>LN(Sheet1!E12)</f>
        <v>1.6122235263819824</v>
      </c>
    </row>
    <row r="11" spans="1:1" x14ac:dyDescent="0.3">
      <c r="A11" t="e">
        <f>LN(Sheet1!E13)</f>
        <v>#NUM!</v>
      </c>
    </row>
    <row r="12" spans="1:1" x14ac:dyDescent="0.3">
      <c r="A12" t="e">
        <f>LN(Sheet1!E14)</f>
        <v>#NUM!</v>
      </c>
    </row>
    <row r="13" spans="1:1" x14ac:dyDescent="0.3">
      <c r="A13" t="e">
        <f>LN(Sheet1!E15)</f>
        <v>#NUM!</v>
      </c>
    </row>
    <row r="14" spans="1:1" x14ac:dyDescent="0.3">
      <c r="A14" t="e">
        <f>LN(Sheet1!E16)</f>
        <v>#NUM!</v>
      </c>
    </row>
    <row r="15" spans="1:1" x14ac:dyDescent="0.3">
      <c r="A15">
        <f>LN(Sheet1!E17)</f>
        <v>1.6219077147229151</v>
      </c>
    </row>
    <row r="16" spans="1:1" x14ac:dyDescent="0.3">
      <c r="A16">
        <f>LN(Sheet1!E18)</f>
        <v>1.7269166584994056</v>
      </c>
    </row>
    <row r="17" spans="1:1" x14ac:dyDescent="0.3">
      <c r="A17" t="e">
        <f>LN(Sheet1!E19)</f>
        <v>#NUM!</v>
      </c>
    </row>
    <row r="18" spans="1:1" x14ac:dyDescent="0.3">
      <c r="A18" t="e">
        <f>LN(Sheet1!E20)</f>
        <v>#NUM!</v>
      </c>
    </row>
    <row r="19" spans="1:1" x14ac:dyDescent="0.3">
      <c r="A19">
        <f>LN(Sheet1!E21)</f>
        <v>2.2637956559935857</v>
      </c>
    </row>
    <row r="20" spans="1:1" x14ac:dyDescent="0.3">
      <c r="A20" t="e">
        <f>LN(Sheet1!E22)</f>
        <v>#NUM!</v>
      </c>
    </row>
    <row r="21" spans="1:1" x14ac:dyDescent="0.3">
      <c r="A21" t="e">
        <f>LN(Sheet1!E23)</f>
        <v>#NUM!</v>
      </c>
    </row>
    <row r="22" spans="1:1" x14ac:dyDescent="0.3">
      <c r="A22" t="e">
        <f>LN(Sheet1!E24)</f>
        <v>#NUM!</v>
      </c>
    </row>
    <row r="23" spans="1:1" x14ac:dyDescent="0.3">
      <c r="A23">
        <f>LN(Sheet1!E25)</f>
        <v>2.2101385649123189</v>
      </c>
    </row>
    <row r="24" spans="1:1" x14ac:dyDescent="0.3">
      <c r="A24">
        <f>LN(Sheet1!E26)</f>
        <v>1.780771244685496</v>
      </c>
    </row>
    <row r="25" spans="1:1" x14ac:dyDescent="0.3">
      <c r="A25">
        <f>LN(Sheet1!E27)</f>
        <v>0.56693874126039767</v>
      </c>
    </row>
    <row r="26" spans="1:1" x14ac:dyDescent="0.3">
      <c r="A26">
        <f>LN(Sheet1!E28)</f>
        <v>2.8880593932099439</v>
      </c>
    </row>
    <row r="27" spans="1:1" x14ac:dyDescent="0.3">
      <c r="A27" t="e">
        <f>LN(Sheet1!E29)</f>
        <v>#NUM!</v>
      </c>
    </row>
    <row r="28" spans="1:1" x14ac:dyDescent="0.3">
      <c r="A28">
        <f>LN(Sheet1!E30)</f>
        <v>1.8583219919746377</v>
      </c>
    </row>
    <row r="29" spans="1:1" x14ac:dyDescent="0.3">
      <c r="A29">
        <f>LN(Sheet1!E31)</f>
        <v>2.5454209384892001</v>
      </c>
    </row>
    <row r="30" spans="1:1" x14ac:dyDescent="0.3">
      <c r="A30">
        <f>LN(Sheet1!E32)</f>
        <v>1.0676709137261076</v>
      </c>
    </row>
    <row r="31" spans="1:1" x14ac:dyDescent="0.3">
      <c r="A31" t="e">
        <f>LN(Sheet1!E33)</f>
        <v>#NUM!</v>
      </c>
    </row>
    <row r="32" spans="1:1" x14ac:dyDescent="0.3">
      <c r="A32" t="e">
        <f>LN(Sheet1!E34)</f>
        <v>#NUM!</v>
      </c>
    </row>
    <row r="33" spans="1:1" x14ac:dyDescent="0.3">
      <c r="A33" t="e">
        <f>LN(Sheet1!E35)</f>
        <v>#NUM!</v>
      </c>
    </row>
    <row r="34" spans="1:1" x14ac:dyDescent="0.3">
      <c r="A34">
        <f>LN(Sheet1!E36)</f>
        <v>0.47594219356309408</v>
      </c>
    </row>
    <row r="35" spans="1:1" x14ac:dyDescent="0.3">
      <c r="A35">
        <f>LN(Sheet1!E37)</f>
        <v>0.51824368710698987</v>
      </c>
    </row>
    <row r="36" spans="1:1" x14ac:dyDescent="0.3">
      <c r="A36">
        <f>LN(Sheet1!E38)</f>
        <v>0.96211538993430112</v>
      </c>
    </row>
    <row r="37" spans="1:1" x14ac:dyDescent="0.3">
      <c r="A37">
        <f>LN(Sheet1!E39)</f>
        <v>-0.67613960807360618</v>
      </c>
    </row>
    <row r="38" spans="1:1" x14ac:dyDescent="0.3">
      <c r="A38" t="e">
        <f>LN(Sheet1!E40)</f>
        <v>#NUM!</v>
      </c>
    </row>
    <row r="39" spans="1:1" x14ac:dyDescent="0.3">
      <c r="A39">
        <f>LN(Sheet1!E41)</f>
        <v>1.612472816129255</v>
      </c>
    </row>
    <row r="40" spans="1:1" x14ac:dyDescent="0.3">
      <c r="A40">
        <f>LN(Sheet1!E42)</f>
        <v>-1.5183657229359764</v>
      </c>
    </row>
    <row r="41" spans="1:1" x14ac:dyDescent="0.3">
      <c r="A41" t="e">
        <f>LN(Sheet1!E43)</f>
        <v>#NUM!</v>
      </c>
    </row>
    <row r="42" spans="1:1" x14ac:dyDescent="0.3">
      <c r="A42">
        <f>LN(Sheet1!E44)</f>
        <v>2.0366032289394265</v>
      </c>
    </row>
    <row r="43" spans="1:1" x14ac:dyDescent="0.3">
      <c r="A43">
        <f>LN(Sheet1!E45)</f>
        <v>1.7979077034275002</v>
      </c>
    </row>
    <row r="44" spans="1:1" x14ac:dyDescent="0.3">
      <c r="A44">
        <f>LN(Sheet1!E46)</f>
        <v>1.8151878739181644</v>
      </c>
    </row>
    <row r="45" spans="1:1" x14ac:dyDescent="0.3">
      <c r="A45">
        <f>LN(Sheet1!E47)</f>
        <v>0.82759100192946333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</dc:creator>
  <cp:lastModifiedBy>GIDEON</cp:lastModifiedBy>
  <dcterms:created xsi:type="dcterms:W3CDTF">2024-07-01T18:06:30Z</dcterms:created>
  <dcterms:modified xsi:type="dcterms:W3CDTF">2024-09-02T11:29:11Z</dcterms:modified>
</cp:coreProperties>
</file>